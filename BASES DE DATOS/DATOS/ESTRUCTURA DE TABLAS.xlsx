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ublic\PROGRAMACION_TOTAL\GIT\PROYECTOS\PR_JAVA_EXAM TESTER\BASES DE DATOS\CSV\"/>
    </mc:Choice>
  </mc:AlternateContent>
  <xr:revisionPtr revIDLastSave="0" documentId="13_ncr:1_{F8B76ECB-F77E-40F9-85F2-5A88970AFD22}" xr6:coauthVersionLast="47" xr6:coauthVersionMax="47" xr10:uidLastSave="{00000000-0000-0000-0000-000000000000}"/>
  <bookViews>
    <workbookView xWindow="20370" yWindow="-120" windowWidth="21840" windowHeight="13140" firstSheet="10" activeTab="13" xr2:uid="{00000000-000D-0000-FFFF-FFFF00000000}"/>
  </bookViews>
  <sheets>
    <sheet name="materia" sheetId="1" r:id="rId1"/>
    <sheet name="materia_values" sheetId="8" r:id="rId2"/>
    <sheet name="origen" sheetId="2" r:id="rId3"/>
    <sheet name="origen_values" sheetId="9" r:id="rId4"/>
    <sheet name="subtema" sheetId="4" r:id="rId5"/>
    <sheet name="subtema_values" sheetId="10" r:id="rId6"/>
    <sheet name="topico" sheetId="7" r:id="rId7"/>
    <sheet name="topico_values" sheetId="12" r:id="rId8"/>
    <sheet name="subtema_topico" sheetId="5" r:id="rId9"/>
    <sheet name="subtema_topico_values" sheetId="11" r:id="rId10"/>
    <sheet name="tema" sheetId="6" r:id="rId11"/>
    <sheet name="tema_values" sheetId="13" r:id="rId12"/>
    <sheet name="preguntas" sheetId="3" r:id="rId13"/>
    <sheet name="preguntas_values" sheetId="14" r:id="rId14"/>
    <sheet name="INSERT PREGUNTA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0" i="15" l="1"/>
  <c r="B243" i="15"/>
  <c r="B237" i="15"/>
  <c r="B238" i="15"/>
  <c r="B239" i="15"/>
  <c r="B241" i="15"/>
  <c r="B242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20" i="15"/>
  <c r="B221" i="15"/>
  <c r="B222" i="15"/>
  <c r="B223" i="15"/>
  <c r="B2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124" i="15"/>
  <c r="D3" i="13"/>
  <c r="E4" i="10"/>
  <c r="E5" i="10"/>
  <c r="E6" i="10"/>
  <c r="E7" i="10"/>
  <c r="E3" i="10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3" i="12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" i="11"/>
  <c r="D4" i="9"/>
  <c r="D4" i="8"/>
  <c r="D5" i="8"/>
  <c r="D6" i="8"/>
  <c r="D7" i="8"/>
  <c r="D8" i="8"/>
  <c r="D9" i="8"/>
  <c r="D10" i="8"/>
  <c r="D11" i="8"/>
  <c r="D3" i="8"/>
  <c r="D3" i="9"/>
</calcChain>
</file>

<file path=xl/sharedStrings.xml><?xml version="1.0" encoding="utf-8"?>
<sst xmlns="http://schemas.openxmlformats.org/spreadsheetml/2006/main" count="2765" uniqueCount="1522">
  <si>
    <t>ID_MATERIA</t>
  </si>
  <si>
    <t>NOMBRE_MATERIA</t>
  </si>
  <si>
    <t>Field</t>
  </si>
  <si>
    <t>Type</t>
  </si>
  <si>
    <t>Null</t>
  </si>
  <si>
    <t>Key</t>
  </si>
  <si>
    <t>Default</t>
  </si>
  <si>
    <t>Extra</t>
  </si>
  <si>
    <t>int(11)</t>
  </si>
  <si>
    <t>NO</t>
  </si>
  <si>
    <t>PRI</t>
  </si>
  <si>
    <t>NULL</t>
  </si>
  <si>
    <t>auto_increment</t>
  </si>
  <si>
    <t>varchar(100)</t>
  </si>
  <si>
    <t>YES</t>
  </si>
  <si>
    <t>ID_ORIGEN</t>
  </si>
  <si>
    <t>ORIGEN</t>
  </si>
  <si>
    <t>ID_PREGUNTA</t>
  </si>
  <si>
    <t>ID_SUBTEMA_TOPICO</t>
  </si>
  <si>
    <t>PREGUNTA</t>
  </si>
  <si>
    <t>varchar(500)</t>
  </si>
  <si>
    <t>UNI</t>
  </si>
  <si>
    <t>RUTA_ARCHIVO</t>
  </si>
  <si>
    <t>RESPUESTA_B</t>
  </si>
  <si>
    <t>RESPUESTA_C</t>
  </si>
  <si>
    <t>RESPUESTA_D</t>
  </si>
  <si>
    <t>RESPUESTA_CORRECTA</t>
  </si>
  <si>
    <t>varchar(3)</t>
  </si>
  <si>
    <t>EXPLICACION</t>
  </si>
  <si>
    <t>text</t>
  </si>
  <si>
    <t>IMAGEN_PREGUNTA</t>
  </si>
  <si>
    <t>blob</t>
  </si>
  <si>
    <t>ERRORES</t>
  </si>
  <si>
    <t>UNIDAD</t>
  </si>
  <si>
    <t>varchar(8)</t>
  </si>
  <si>
    <t>RESPUESTA_A</t>
  </si>
  <si>
    <t>IMAGEN_RESP_A</t>
  </si>
  <si>
    <t>mediumblob</t>
  </si>
  <si>
    <t>IMAGEN_RESP_B</t>
  </si>
  <si>
    <t>IMAGEN_RESP_C</t>
  </si>
  <si>
    <t>IMAGEN_RESP_D</t>
  </si>
  <si>
    <t>IMAGEN_EXPLICA</t>
  </si>
  <si>
    <t>RESPUESTA_E</t>
  </si>
  <si>
    <t>IMAGEN_RESP_E</t>
  </si>
  <si>
    <t>RESPUESTA_F</t>
  </si>
  <si>
    <t>IMAGEN_RESP_F</t>
  </si>
  <si>
    <t>RESPUESTA_G</t>
  </si>
  <si>
    <t>IMAGEN_RESP_G</t>
  </si>
  <si>
    <t>RESPUESTA_H</t>
  </si>
  <si>
    <t>IMAGEN_RESP_H</t>
  </si>
  <si>
    <t>RESPUESTA_I</t>
  </si>
  <si>
    <t>IMAGEN_RESP_I</t>
  </si>
  <si>
    <t>ID_SUBTEMA</t>
  </si>
  <si>
    <t>ID_TEMA</t>
  </si>
  <si>
    <t>NOMBRE_SUBTEMA</t>
  </si>
  <si>
    <t>varchar(150)</t>
  </si>
  <si>
    <t>ID_TOPICO</t>
  </si>
  <si>
    <t>NOMBRE_TEMA</t>
  </si>
  <si>
    <t>NOMBRE_TOPICO</t>
  </si>
  <si>
    <t>CIBERSEGURIDAD WEB</t>
  </si>
  <si>
    <t>DESARROLLO SEGURO DEL SOFTWARE</t>
  </si>
  <si>
    <t>PLATAFORMAS DE DESARROLLO DE SOFTWARE</t>
  </si>
  <si>
    <t>ADMINISTRACION DE SISITEMAS</t>
  </si>
  <si>
    <t>EXPERIENCIA E INTERFAZ DE USUARIO</t>
  </si>
  <si>
    <t>PROYECTO DE APLICACION</t>
  </si>
  <si>
    <t>METODOLOGIAS DESARROLLO Y CALIDAD</t>
  </si>
  <si>
    <t>DIRECCION Y GESTION</t>
  </si>
  <si>
    <t>DESARROLLO WEB INTEGRAL</t>
  </si>
  <si>
    <t>INSERT</t>
  </si>
  <si>
    <t>CHATGPT</t>
  </si>
  <si>
    <t>UNIR</t>
  </si>
  <si>
    <t>JAVA</t>
  </si>
  <si>
    <t>PYTHON</t>
  </si>
  <si>
    <t>SQL</t>
  </si>
  <si>
    <t>SCRUM</t>
  </si>
  <si>
    <t>CIBERSEGURIDAD</t>
  </si>
  <si>
    <t>SINTAXIS</t>
  </si>
  <si>
    <t>ROLES</t>
  </si>
  <si>
    <t>HISTORIAS DE USUARIO</t>
  </si>
  <si>
    <t>FASES</t>
  </si>
  <si>
    <t>DAILY</t>
  </si>
  <si>
    <t>CEREMONIAS</t>
  </si>
  <si>
    <t>EPICAS</t>
  </si>
  <si>
    <t>GRAFICAS DE SCRUM</t>
  </si>
  <si>
    <t>ARTEACTOS</t>
  </si>
  <si>
    <t>SPRINTS</t>
  </si>
  <si>
    <t>TIPOS DE DATOS Y VARIABLES</t>
  </si>
  <si>
    <t>ESTRUCTURAS DE CONTROL</t>
  </si>
  <si>
    <t>METODOS Y FUNCIONES</t>
  </si>
  <si>
    <t>CLASES</t>
  </si>
  <si>
    <t>OBJETOS</t>
  </si>
  <si>
    <t>EXCEPCIONES</t>
  </si>
  <si>
    <t>PROGRAMACION ORIENTADA A OBJETOS</t>
  </si>
  <si>
    <t>ENCAPSULAMINETO</t>
  </si>
  <si>
    <t>ABSTRACCION Y COMPOSICION</t>
  </si>
  <si>
    <t>RELACIONES ENTRE CLASES</t>
  </si>
  <si>
    <t>USO DE INTERFACES Y CLASES ABSTRACTAS</t>
  </si>
  <si>
    <t>COLECCIONES</t>
  </si>
  <si>
    <t>ALGORITMOS DE ORDENAMIENTO Y BUSQUEDA</t>
  </si>
  <si>
    <t>HILOS</t>
  </si>
  <si>
    <t>SINCRONIZACION</t>
  </si>
  <si>
    <t>MANEJO DE CONDICIONES</t>
  </si>
  <si>
    <t>USO DE BLOQUEOS Y SEMAFOROS</t>
  </si>
  <si>
    <t>JAVA.UTIL.CONCURRENT</t>
  </si>
  <si>
    <t>JDBC</t>
  </si>
  <si>
    <t>ORM</t>
  </si>
  <si>
    <t>SERVLETS</t>
  </si>
  <si>
    <t>JSP</t>
  </si>
  <si>
    <t>SPRING</t>
  </si>
  <si>
    <t>MVC</t>
  </si>
  <si>
    <t>MANEJO DE SESIONES Y AUTENTICACION</t>
  </si>
  <si>
    <t>HTTP</t>
  </si>
  <si>
    <t>REST</t>
  </si>
  <si>
    <t>IDE</t>
  </si>
  <si>
    <t>SISTEMAS DE CONTROL DE VERSIONES</t>
  </si>
  <si>
    <t>GESTION DE DEPENDENCIAS MAVEN</t>
  </si>
  <si>
    <t>PRINCIPIOS SOLID</t>
  </si>
  <si>
    <t>SINGELTON</t>
  </si>
  <si>
    <t>FACTORY</t>
  </si>
  <si>
    <t>STRATEGY</t>
  </si>
  <si>
    <t>OBSERVER</t>
  </si>
  <si>
    <t>MANTENIBILIDAD</t>
  </si>
  <si>
    <t>ORGANIZACION</t>
  </si>
  <si>
    <t>ESTRUCTURA DE CODIGO</t>
  </si>
  <si>
    <t>LEGIBILIDAD</t>
  </si>
  <si>
    <t>BUCLES</t>
  </si>
  <si>
    <t>TIPOS DE DATOS</t>
  </si>
  <si>
    <t>CURSORES</t>
  </si>
  <si>
    <t>PRCEDIMIENTOS Y FUNCIONES</t>
  </si>
  <si>
    <t>CONSULTAS</t>
  </si>
  <si>
    <t>MANIPULACION DE TABLAS</t>
  </si>
  <si>
    <t>CLAUSULAS</t>
  </si>
  <si>
    <t>TRANSACCIONES Y CONTROL DE CONCURRENCIA</t>
  </si>
  <si>
    <t>PAQUETES</t>
  </si>
  <si>
    <t>TRIGGERS</t>
  </si>
  <si>
    <t>MANEJO DE EVENTOS</t>
  </si>
  <si>
    <t>CONSULTAS DINAMICAS</t>
  </si>
  <si>
    <t>BUENAS PRACTICAS</t>
  </si>
  <si>
    <t>DOM</t>
  </si>
  <si>
    <t>EVENTOS</t>
  </si>
  <si>
    <t>FUNCIONES DE ORDEN SUPERIOR</t>
  </si>
  <si>
    <t>DESTRUCTURACION</t>
  </si>
  <si>
    <t>TEMPLATE LITERALS</t>
  </si>
  <si>
    <t>SPREAD Y REST OPERATORS</t>
  </si>
  <si>
    <t>SCOPE Y HOSTING</t>
  </si>
  <si>
    <t>CLOSURES</t>
  </si>
  <si>
    <t>CALLBACKS</t>
  </si>
  <si>
    <t>JSON</t>
  </si>
  <si>
    <t>FETCH API</t>
  </si>
  <si>
    <t>PROMESAS</t>
  </si>
  <si>
    <t>ASINCRONIA</t>
  </si>
  <si>
    <t>MANIPULACION AVANZADA DEL DOM</t>
  </si>
  <si>
    <t>EVENT LOOP</t>
  </si>
  <si>
    <t>CALL STACK</t>
  </si>
  <si>
    <t>WEB APIS</t>
  </si>
  <si>
    <t>DEBOUNCE</t>
  </si>
  <si>
    <t>THROTTLE</t>
  </si>
  <si>
    <t>WEBSOCKETS</t>
  </si>
  <si>
    <t>SERICE WORKERS</t>
  </si>
  <si>
    <t>PWA PROGRESIVE WEB APPS</t>
  </si>
  <si>
    <t>DEPENDENDIAS NPM</t>
  </si>
  <si>
    <t>TESTING JEST</t>
  </si>
  <si>
    <t>TESTING MOCHA</t>
  </si>
  <si>
    <t>BUNDLERS</t>
  </si>
  <si>
    <t>DDD DOMAIN DRIVEN DESIGN</t>
  </si>
  <si>
    <t>ARQUITECTURA HEXAGONAL</t>
  </si>
  <si>
    <t>FEIGN CLIENT</t>
  </si>
  <si>
    <t>OPEN FEIGN</t>
  </si>
  <si>
    <t>GRPC</t>
  </si>
  <si>
    <t>MENSAJERIA ASINCRONIA</t>
  </si>
  <si>
    <t>JWT</t>
  </si>
  <si>
    <t>API GATEWAY</t>
  </si>
  <si>
    <t>UNIT TEST</t>
  </si>
  <si>
    <t>INTEGRATION TEST</t>
  </si>
  <si>
    <t>SPRING BOOT</t>
  </si>
  <si>
    <t>PROCEDIMIENTOS Y FUNCIONES</t>
  </si>
  <si>
    <t>VISTAS MATERIALIZADAS</t>
  </si>
  <si>
    <t>INFORMATICA</t>
  </si>
  <si>
    <t>¿Cuál de las siguientes opciones es una declaración válida de variable en Java?</t>
  </si>
  <si>
    <t>A.-int numero = "10";</t>
  </si>
  <si>
    <t>B.-double precio = 25.99;</t>
  </si>
  <si>
    <t>C.-string nombre = "Java";</t>
  </si>
  <si>
    <t>D.-booleano esValido = true;</t>
  </si>
  <si>
    <t>B</t>
  </si>
  <si>
    <t>¿Cuál de los siguientes modificadores de acceso permite que una variable o método solo sea accesible dentro de la misma clase?</t>
  </si>
  <si>
    <t>A.-public</t>
  </si>
  <si>
    <t>B.-protected</t>
  </si>
  <si>
    <t>C.-private</t>
  </si>
  <si>
    <t>D.-default</t>
  </si>
  <si>
    <t>C</t>
  </si>
  <si>
    <t>¿Qué palabra clave se usa para declarar una constante en Java?</t>
  </si>
  <si>
    <t>A.-const</t>
  </si>
  <si>
    <t>B.-final</t>
  </si>
  <si>
    <t>C.-static</t>
  </si>
  <si>
    <t>D.-let</t>
  </si>
  <si>
    <t>En Java, la palabra clave "final" se usa para declarar constantes.</t>
  </si>
  <si>
    <t>¿Cuál es el tipo de dato predeterminado para números decimales en Java?</t>
  </si>
  <si>
    <t>A.-float</t>
  </si>
  <si>
    <t>B.-double</t>
  </si>
  <si>
    <t>C.-int</t>
  </si>
  <si>
    <t>D.-decimal</t>
  </si>
  <si>
    <t>El tipo de dato predeterminado para números decimales en Java es "double".</t>
  </si>
  <si>
    <t>¿Qué operador se usa para comparar si dos valores son iguales en Java?</t>
  </si>
  <si>
    <t>A.-==</t>
  </si>
  <si>
    <t>B.-=</t>
  </si>
  <si>
    <t>C.-equals()</t>
  </si>
  <si>
    <t>D.-!=</t>
  </si>
  <si>
    <t>A</t>
  </si>
  <si>
    <t>El operador "==" se usa para comparar valores primitivos en Java. Para objetos, se usa equals().</t>
  </si>
  <si>
    <t>¿Cuál de los siguientes no es un tipo de dato primitivo en Java?</t>
  </si>
  <si>
    <t>A.-int</t>
  </si>
  <si>
    <t>B.-String</t>
  </si>
  <si>
    <t>C.-double</t>
  </si>
  <si>
    <t>D.-boolean</t>
  </si>
  <si>
    <t>String no es un tipo de dato primitivo, es una clase en Java.</t>
  </si>
  <si>
    <t>¿Cómo se declara un array de enteros en Java?</t>
  </si>
  <si>
    <t>A.-int array[] = new int[5];</t>
  </si>
  <si>
    <t>B.-array&lt;int&gt; = new int[5];</t>
  </si>
  <si>
    <t>C.-int[] array = new int(5);</t>
  </si>
  <si>
    <t>D.-array[] int = new int[5];</t>
  </si>
  <si>
    <t>La forma correcta de declarar un array en Java es "int array[] = new int[5];".</t>
  </si>
  <si>
    <t>¿Cuál es el resultado de la operación 10 / 3 en Java si ambos son enteros?</t>
  </si>
  <si>
    <t>A.-3.33</t>
  </si>
  <si>
    <t>B.-3</t>
  </si>
  <si>
    <t>C.-4</t>
  </si>
  <si>
    <t>D.-Error</t>
  </si>
  <si>
    <t>En Java, la división entre enteros devuelve un entero, por lo que 10 / 3 es 3.</t>
  </si>
  <si>
    <t>¿Qué estructura se usa para manejar excepciones en Java?</t>
  </si>
  <si>
    <t>A.-if-else</t>
  </si>
  <si>
    <t>B.-switch-case</t>
  </si>
  <si>
    <t>C.-try-catch</t>
  </si>
  <si>
    <t>D.-for-each</t>
  </si>
  <si>
    <t>El bloque try-catch se usa para manejar excepciones en Java.</t>
  </si>
  <si>
    <t>¿Cuál de las siguientes opciones es un bucle en Java?</t>
  </si>
  <si>
    <t>A.-loop()</t>
  </si>
  <si>
    <t>B.-foreach()</t>
  </si>
  <si>
    <t>C.-do-while</t>
  </si>
  <si>
    <t>D.-if-else</t>
  </si>
  <si>
    <t>do-while es un bucle en Java que se ejecuta al menos una vez antes de evaluar la condición.</t>
  </si>
  <si>
    <t>¿Cuál es la función principal de la palabra clave "this" en Java?</t>
  </si>
  <si>
    <t>A.-Referenciar la superclase</t>
  </si>
  <si>
    <t>B.-Referenciar la propia instancia de la clase</t>
  </si>
  <si>
    <t>C.-Indicar una variable global</t>
  </si>
  <si>
    <t>D.-Acceder a métodos estáticos</t>
  </si>
  <si>
    <t>La palabra clave "this" en Java se usa para referenciar la instancia actual de la clase.</t>
  </si>
  <si>
    <t>¿Qué palabra clave se usa para heredar una clase en Java?</t>
  </si>
  <si>
    <t>A.-implements</t>
  </si>
  <si>
    <t>B.-inherits</t>
  </si>
  <si>
    <t>C.-extends</t>
  </si>
  <si>
    <t>D.-override</t>
  </si>
  <si>
    <t>Para heredar una clase en Java se usa "extends".</t>
  </si>
  <si>
    <t>¿Qué modificador de acceso permite que un método sea accesible desde cualquier parte del programa?</t>
  </si>
  <si>
    <t>A.-private</t>
  </si>
  <si>
    <t>C.-default</t>
  </si>
  <si>
    <t>D.-public</t>
  </si>
  <si>
    <t>D</t>
  </si>
  <si>
    <t>El modificador "public" permite que un método sea accesible desde cualquier parte del programa.</t>
  </si>
  <si>
    <t>¿Qué pasa si un método tiene el mismo nombre pero diferente número de parámetros?</t>
  </si>
  <si>
    <t>A.-Error de compilación</t>
  </si>
  <si>
    <t>B.-Sobrecarga de métodos</t>
  </si>
  <si>
    <t>C.-Sobrescritura de métodos</t>
  </si>
  <si>
    <t>D.-No es permitido en Java</t>
  </si>
  <si>
    <t>Se llama sobrecarga de métodos (method overloading), donde un método tiene el mismo nombre pero diferentes parámetros.</t>
  </si>
  <si>
    <t>¿Cómo se llama el proceso de convertir un objeto de una subclase a su superclase?</t>
  </si>
  <si>
    <t>A.-Downcasting</t>
  </si>
  <si>
    <t>B.-Upcasting</t>
  </si>
  <si>
    <t>C.-Polimorfismo</t>
  </si>
  <si>
    <t>D.-Instanciación</t>
  </si>
  <si>
    <t>Upcasting es el proceso de convertir un objeto de una subclase a su superclase en Java.</t>
  </si>
  <si>
    <t>¿Cuál es el valor predeterminado de un atributo de instancia de tipo int en Java?</t>
  </si>
  <si>
    <t>A.-null</t>
  </si>
  <si>
    <t>B.-0</t>
  </si>
  <si>
    <t>C.-1</t>
  </si>
  <si>
    <t>D.-No tiene valor por defecto</t>
  </si>
  <si>
    <t>Los atributos de tipo int en Java tienen un valor predeterminado de 0.</t>
  </si>
  <si>
    <t>¿Cuál de los siguientes no es un operador lógico en Java?</t>
  </si>
  <si>
    <t>A.-&amp;&amp;</t>
  </si>
  <si>
    <t>B.-||</t>
  </si>
  <si>
    <t>C.-!</t>
  </si>
  <si>
    <t>D.-%%</t>
  </si>
  <si>
    <t>El operador "%%" no existe en Java. Los operadores lógicos válidos son &amp;&amp;, || y !.</t>
  </si>
  <si>
    <t>¿Qué tipo de dato devuelve un método con la firma "public void metodo()"?</t>
  </si>
  <si>
    <t>B.-void</t>
  </si>
  <si>
    <t>C.-null</t>
  </si>
  <si>
    <t>D.-No devuelve nada</t>
  </si>
  <si>
    <t>El tipo "void" indica que el método no devuelve ningún valor.</t>
  </si>
  <si>
    <t>¿Qué palabra clave se usa para definir una interfaz en Java?</t>
  </si>
  <si>
    <t>A.-abstract</t>
  </si>
  <si>
    <t>B.-class</t>
  </si>
  <si>
    <t>C.-interface</t>
  </si>
  <si>
    <t>D.-implements</t>
  </si>
  <si>
    <t>La palabra clave "interface" se usa para definir interfaces en Java.</t>
  </si>
  <si>
    <t>¿Cuál es la salida de System.out.println(2 + "3"); en Java?</t>
  </si>
  <si>
    <t>A.-5</t>
  </si>
  <si>
    <t>B.-23</t>
  </si>
  <si>
    <t>C.-Error de compilación</t>
  </si>
  <si>
    <t>D.-Ninguna de las anteriores</t>
  </si>
  <si>
    <t>En Java, si se concatena un número con un string, el número se convierte en string.</t>
  </si>
  <si>
    <t>¿Qué método se ejecuta automáticamente cuando se instancia una clase en Java?</t>
  </si>
  <si>
    <t>A.-run()</t>
  </si>
  <si>
    <t>B.-start()</t>
  </si>
  <si>
    <t>C.-constructor</t>
  </si>
  <si>
    <t>D.-initialize()</t>
  </si>
  <si>
    <t>El constructor es el método que se ejecuta automáticamente al instanciar una clase en Java.</t>
  </si>
  <si>
    <t>¿Cuál es la función de la instrucción "def" en Python?</t>
  </si>
  <si>
    <t>A.-Definir una clase</t>
  </si>
  <si>
    <t>B.-Definir una función</t>
  </si>
  <si>
    <t>C.-Importar un módulo</t>
  </si>
  <si>
    <t>D.-Declarar una variable</t>
  </si>
  <si>
    <t>La palabra clave "def" en Python se usa para definir funciones.</t>
  </si>
  <si>
    <t>¿Qué operador se usa para calcular el módulo de una división en Python?</t>
  </si>
  <si>
    <t>A.-%</t>
  </si>
  <si>
    <t>B.-//</t>
  </si>
  <si>
    <t>C.-/</t>
  </si>
  <si>
    <t>D.-*</t>
  </si>
  <si>
    <t>El operador "%" se usa para obtener el residuo de una división en Python.</t>
  </si>
  <si>
    <t>¿Cómo se declara una lista en Python?</t>
  </si>
  <si>
    <t>A.-list = {1,2,3}</t>
  </si>
  <si>
    <t>B.-list = [1,2,3]</t>
  </si>
  <si>
    <t>C.-list = (1,2,3)</t>
  </si>
  <si>
    <t>D.-list = &lt;1,2,3&gt;</t>
  </si>
  <si>
    <t>Las listas en Python se declaran con corchetes [].</t>
  </si>
  <si>
    <t>¿Cuál de los siguientes no es un tipo de dato en Python?</t>
  </si>
  <si>
    <t>B.-float</t>
  </si>
  <si>
    <t>C.-char</t>
  </si>
  <si>
    <t>D.-bool</t>
  </si>
  <si>
    <t>Python no tiene un tipo de dato "char"; los caracteres son cadenas de un solo carácter.</t>
  </si>
  <si>
    <t>¿Cuál es la forma correcta de escribir un comentario en Python?</t>
  </si>
  <si>
    <t>A.-// Este es un comentario</t>
  </si>
  <si>
    <t>B.-# Este es un comentario</t>
  </si>
  <si>
    <t>C.-&lt;!-- Este es un comentario --&gt;</t>
  </si>
  <si>
    <t>D.-/* Este es un comentario */</t>
  </si>
  <si>
    <t>En Python, los comentarios de una sola línea se escriben con "#".</t>
  </si>
  <si>
    <t>¿Qué función se usa para obtener la longitud de una lista en Python?</t>
  </si>
  <si>
    <t>A.-length()</t>
  </si>
  <si>
    <t>B.-size()</t>
  </si>
  <si>
    <t>C.-count()</t>
  </si>
  <si>
    <t>D.-len()</t>
  </si>
  <si>
    <t>La función "len()" se usa para obtener la longitud de una lista en Python.</t>
  </si>
  <si>
    <t>¿Cuál es la forma correcta de abrir un archivo en Python?</t>
  </si>
  <si>
    <t>A.-file = open("archivo.txt", "r")</t>
  </si>
  <si>
    <t>B.-file = read("archivo.txt")</t>
  </si>
  <si>
    <t>C.-file.open("archivo.txt")</t>
  </si>
  <si>
    <t>D.-file = openFile("archivo.txt")</t>
  </si>
  <si>
    <t>La función "open()" se usa para abrir archivos en Python.</t>
  </si>
  <si>
    <t>¿Cuál es el resultado de print(2 ** 3) en Python?</t>
  </si>
  <si>
    <t>A.-6</t>
  </si>
  <si>
    <t>B.-8</t>
  </si>
  <si>
    <t>C.-9</t>
  </si>
  <si>
    <t>El operador "**" en Python se usa para exponentes, por lo que 2 ** 3 es 8.</t>
  </si>
  <si>
    <t>¿Cuál es el valor de la expresión bool([]) en Python?</t>
  </si>
  <si>
    <t>A.-True</t>
  </si>
  <si>
    <t>B.-False</t>
  </si>
  <si>
    <t>C.-Error</t>
  </si>
  <si>
    <t>D.-None</t>
  </si>
  <si>
    <t>Las listas vacías en Python se evalúan como False en un contexto booleano.</t>
  </si>
  <si>
    <t>¿Cómo se define una variable global dentro de una función en Python?</t>
  </si>
  <si>
    <t>A.-global variable</t>
  </si>
  <si>
    <t>B.-def global variable</t>
  </si>
  <si>
    <t>C.-set global variable</t>
  </si>
  <si>
    <t>D.-var global</t>
  </si>
  <si>
    <t>Para definir una variable global dentro de una función en Python, se usa la palabra clave "global".</t>
  </si>
  <si>
    <t>¿Qué método se usa para convertir un string en minúsculas en Python?</t>
  </si>
  <si>
    <t>A.-toLowerCase()</t>
  </si>
  <si>
    <t>B.-lower()</t>
  </si>
  <si>
    <t>C.-small()</t>
  </si>
  <si>
    <t>D.-downcase()</t>
  </si>
  <si>
    <t>El método "lower()" convierte un string a minúsculas en Python.</t>
  </si>
  <si>
    <t>¿Qué tipo de estructura de control es "elif" en Python?</t>
  </si>
  <si>
    <t>A.-Condicional</t>
  </si>
  <si>
    <t>B.-Bucle</t>
  </si>
  <si>
    <t>C.-Función</t>
  </si>
  <si>
    <t>D.-Excepción</t>
  </si>
  <si>
    <t>El "elif" en Python se usa en estructuras condicionales.</t>
  </si>
  <si>
    <t>¿Cuál de los siguientes métodos se usa para agregar un elemento a una lista en Python?</t>
  </si>
  <si>
    <t>A.-add()</t>
  </si>
  <si>
    <t>B.-insert()</t>
  </si>
  <si>
    <t>C.-append()</t>
  </si>
  <si>
    <t>D.-push()</t>
  </si>
  <si>
    <t>El método "append()" agrega un elemento al final de una lista en Python.</t>
  </si>
  <si>
    <t>¿Qué devuelve la función type(5) en Python?</t>
  </si>
  <si>
    <t>A.-"int"</t>
  </si>
  <si>
    <t>B.-&lt;class 'int'&gt;</t>
  </si>
  <si>
    <t>C.-"integer"</t>
  </si>
  <si>
    <t>La función "type()" devuelve el tipo de dato de un valor en Python.</t>
  </si>
  <si>
    <t>¿Cuál es la forma correcta de definir un diccionario en Python?</t>
  </si>
  <si>
    <t>A.-dict = [key1: value1, key2: value2]</t>
  </si>
  <si>
    <t>B.-dict = {key1: value1, key2: value2}</t>
  </si>
  <si>
    <t>C.-dict = (key1: value1, key2: value2)</t>
  </si>
  <si>
    <t>D.-dict = &lt;key1: value1, key2: value2&gt;</t>
  </si>
  <si>
    <t>Los diccionarios en Python se definen con llaves {}.</t>
  </si>
  <si>
    <t>¿Cuál es la función de la instrucción "import" en Python?</t>
  </si>
  <si>
    <t>A.-Importar módulos</t>
  </si>
  <si>
    <t>B.-Definir variables</t>
  </si>
  <si>
    <t>C.-Declarar funciones</t>
  </si>
  <si>
    <t>D.-Ejecutar código externo</t>
  </si>
  <si>
    <t>La palabra clave "import" se usa para importar módulos en Python.</t>
  </si>
  <si>
    <t>¿Cuál es la función de la palabra clave "pass" en Python?</t>
  </si>
  <si>
    <t>A.-Terminar un bucle</t>
  </si>
  <si>
    <t>B.-Ignorar una línea de código</t>
  </si>
  <si>
    <t>C.-Definir una función vacía</t>
  </si>
  <si>
    <t>D.-Cerrar un archivo</t>
  </si>
  <si>
    <t>La palabra clave "pass" se usa como marcador de posición en funciones o clases vacías.</t>
  </si>
  <si>
    <t>¿Cuál es la salida de print("Python"[::-1])?</t>
  </si>
  <si>
    <t>A.-"nohtyP"</t>
  </si>
  <si>
    <t>B.-"Python"</t>
  </si>
  <si>
    <t>El operador de slicing "[::-1]" invierte una cadena en Python.</t>
  </si>
  <si>
    <t>¿Qué instrucción se usa para seleccionar todos los registros de una tabla en SQL?</t>
  </si>
  <si>
    <t>A.-GET * FROM tabla</t>
  </si>
  <si>
    <t>B.-SELECT * FROM tabla</t>
  </si>
  <si>
    <t>C.-SHOW * FROM tabla</t>
  </si>
  <si>
    <t>D.-FETCH * FROM tabla</t>
  </si>
  <si>
    <t>La instrucción correcta para seleccionar todos los registros es "SELECT * FROM tabla".</t>
  </si>
  <si>
    <t>¿Qué cláusula se usa para filtrar resultados en una consulta SQL?</t>
  </si>
  <si>
    <t>A.-FILTER</t>
  </si>
  <si>
    <t>B.-WHERE</t>
  </si>
  <si>
    <t>C.-HAVING</t>
  </si>
  <si>
    <t>D.-ORDER BY</t>
  </si>
  <si>
    <t>La cláusula "WHERE" se usa para filtrar registros en una consulta SQL.</t>
  </si>
  <si>
    <t>¿Cuál de los siguientes comandos se usa para eliminar una tabla en SQL?</t>
  </si>
  <si>
    <t>A.-REMOVE TABLE nombre_tabla</t>
  </si>
  <si>
    <t>B.-DELETE TABLE nombre_tabla</t>
  </si>
  <si>
    <t>C.-DROP TABLE nombre_tabla</t>
  </si>
  <si>
    <t>D.-CLEAR TABLE nombre_tabla</t>
  </si>
  <si>
    <t>El comando "DROP TABLE" elimina completamente una tabla y sus datos.</t>
  </si>
  <si>
    <t>¿Cómo se renombra una tabla en SQL?</t>
  </si>
  <si>
    <t>A.-MODIFY TABLE tabla RENAME TO nueva_tabla</t>
  </si>
  <si>
    <t>B.-CHANGE TABLE tabla TO nueva_tabla</t>
  </si>
  <si>
    <t>C.-ALTER TABLE tabla RENAME TO nueva_tabla</t>
  </si>
  <si>
    <t>D.-RENAME TABLE tabla TO nueva_tabla</t>
  </si>
  <si>
    <t>El comando "RENAME TABLE nombre_actual TO nuevo_nombre" cambia el nombre de una tabla en SQL.</t>
  </si>
  <si>
    <t>¿Cuál de las siguientes opciones es una restricción de SQL?</t>
  </si>
  <si>
    <t>A.-PRIMARY KEY</t>
  </si>
  <si>
    <t>B.-CHECK</t>
  </si>
  <si>
    <t>C.-NOT NULL</t>
  </si>
  <si>
    <t>D.-Todas las anteriores</t>
  </si>
  <si>
    <t>Las restricciones en SQL incluyen PRIMARY KEY, CHECK, NOT NULL, y otras.</t>
  </si>
  <si>
    <t>¿Qué comando se usa para actualizar datos en una tabla en SQL?</t>
  </si>
  <si>
    <t>A.-CHANGE</t>
  </si>
  <si>
    <t>B.-UPDATE</t>
  </si>
  <si>
    <t>C.-MODIFY</t>
  </si>
  <si>
    <t>D.-SET</t>
  </si>
  <si>
    <t>El comando "UPDATE" se usa para modificar registros existentes en una tabla.</t>
  </si>
  <si>
    <t>¿Cómo se obtiene el número total de registros en una tabla en SQL?</t>
  </si>
  <si>
    <t>A.-COUNT(*)</t>
  </si>
  <si>
    <t>B.-SUM(*)</t>
  </si>
  <si>
    <t>C.-TOTAL(*)</t>
  </si>
  <si>
    <t>D.-LENGTH(*)</t>
  </si>
  <si>
    <t>La función "COUNT(*)" devuelve el número total de registros en una tabla.</t>
  </si>
  <si>
    <t>¿Cuál de las siguientes cláusulas se usa para ordenar los resultados de una consulta SQL?</t>
  </si>
  <si>
    <t>A.-SORT BY</t>
  </si>
  <si>
    <t>B.-ORDER BY</t>
  </si>
  <si>
    <t>C.-GROUP BY</t>
  </si>
  <si>
    <t>D.-RANK BY</t>
  </si>
  <si>
    <t>La cláusula "ORDER BY" ordena los resultados de una consulta SQL.</t>
  </si>
  <si>
    <t>¿Cómo se seleccionan registros únicos en SQL?</t>
  </si>
  <si>
    <t>A.-SELECT DISTINCT columna FROM tabla</t>
  </si>
  <si>
    <t>B.-SELECT UNIQUE columna FROM tabla</t>
  </si>
  <si>
    <t>C.-SELECT DIFFERENT columna FROM tabla</t>
  </si>
  <si>
    <t>D.-SELECT DISTINCTIVE columna FROM tabla</t>
  </si>
  <si>
    <t>La palabra clave "DISTINCT" permite seleccionar valores únicos en SQL.</t>
  </si>
  <si>
    <t>¿Cuál es el propósito de la cláusula GROUP BY en SQL?</t>
  </si>
  <si>
    <t>A.-Ordenar los registros</t>
  </si>
  <si>
    <t>B.-Agrupar registros con valores en común</t>
  </si>
  <si>
    <t>C.-Eliminar registros duplicados</t>
  </si>
  <si>
    <t>D.-Filtrar datos en una consulta</t>
  </si>
  <si>
    <t>La cláusula "GROUP BY" se usa para agrupar filas que tienen valores idénticos en columnas específicas.</t>
  </si>
  <si>
    <t>¿Cuál es la función de la cláusula HAVING en SQL?</t>
  </si>
  <si>
    <t>A.-Filtrar resultados después de agrupar con GROUP BY</t>
  </si>
  <si>
    <t>B.-Ordenar los datos en una consulta</t>
  </si>
  <si>
    <t>D.-Limitar el número de registros en una consulta</t>
  </si>
  <si>
    <t>La cláusula "HAVING" se usa para filtrar datos después de aplicar "GROUP BY".</t>
  </si>
  <si>
    <t>¿Cuál es la diferencia entre DELETE y TRUNCATE en SQL?</t>
  </si>
  <si>
    <t>A.-DELETE borra registros individualmente, TRUNCATE borra todos sin registro en logs</t>
  </si>
  <si>
    <t>B.-DELETE elimina la tabla completa, TRUNCATE solo los registros</t>
  </si>
  <si>
    <t>C.-DELETE y TRUNCATE son sinónimos</t>
  </si>
  <si>
    <t>D.-DELETE solo borra algunos registros, TRUNCATE borra la base de datos</t>
  </si>
  <si>
    <t>DELETE permite eliminar registros específicos con WHERE, mientras que TRUNCATE borra toda la tabla de manera rápida y sin registrar cada eliminación individualmente.</t>
  </si>
  <si>
    <t>¿Cómo se crea una nueva base de datos en SQL?</t>
  </si>
  <si>
    <t>A.-NEW DATABASE nombre</t>
  </si>
  <si>
    <t>B.-CREATE DATABASE nombre</t>
  </si>
  <si>
    <t>C.-ADD DATABASE nombre</t>
  </si>
  <si>
    <t>D.-MAKE DATABASE nombre</t>
  </si>
  <si>
    <t>El comando "CREATE DATABASE nombre" se usa para crear una nueva base de datos.</t>
  </si>
  <si>
    <t>¿Cuál es el comando para agregar una nueva columna a una tabla en SQL?</t>
  </si>
  <si>
    <t>A.-ADD COLUMN</t>
  </si>
  <si>
    <t>B.-ALTER TABLE ... ADD COLUMN</t>
  </si>
  <si>
    <t>C.-INSERT COLUMN</t>
  </si>
  <si>
    <t>D.-MODIFY TABLE ... ADD COLUMN</t>
  </si>
  <si>
    <t>El comando "ALTER TABLE tabla ADD COLUMN nombre_columna tipo_dato" se usa para añadir columnas a una tabla existente.</t>
  </si>
  <si>
    <t>¿Cómo se elimina un solo registro de una tabla en SQL?</t>
  </si>
  <si>
    <t>A.-DELETE FROM tabla WHERE id = valor</t>
  </si>
  <si>
    <t>B.-REMOVE FROM tabla WHERE id = valor</t>
  </si>
  <si>
    <t>C.-DROP FROM tabla WHERE id = valor</t>
  </si>
  <si>
    <t>D.-ERASE FROM tabla WHERE id = valor</t>
  </si>
  <si>
    <t>El comando correcto es "DELETE FROM tabla WHERE id = valor".</t>
  </si>
  <si>
    <t>¿Qué comando se usa para hacer una copia de seguridad de una base de datos en SQL?</t>
  </si>
  <si>
    <t>A.-BACKUP DATABASE nombre</t>
  </si>
  <si>
    <t>B.-EXPORT DATABASE nombre</t>
  </si>
  <si>
    <t>C.-SAVE DATABASE nombre</t>
  </si>
  <si>
    <t>D.-DUMP DATABASE nombre</t>
  </si>
  <si>
    <t>El comando "BACKUP DATABASE nombre" se usa para crear una copia de seguridad en SQL.</t>
  </si>
  <si>
    <t>¿Cuál es la estructura básica de una consulta SQL?</t>
  </si>
  <si>
    <t>A.-GET columna FROM tabla</t>
  </si>
  <si>
    <t>B.-SELECT columna FROM tabla</t>
  </si>
  <si>
    <t>C.-FETCH columna FROM tabla</t>
  </si>
  <si>
    <t>D.-SHOW columna FROM tabla</t>
  </si>
  <si>
    <t>La estructura básica de una consulta SQL es "SELECT columna FROM tabla".</t>
  </si>
  <si>
    <t>¿Qué hace la cláusula LIMIT en una consulta SQL?</t>
  </si>
  <si>
    <t>A.-Limita el número de registros devueltos</t>
  </si>
  <si>
    <t>B.-Ordena los registros de la consulta</t>
  </si>
  <si>
    <t>C.-Agrupa los datos en la consulta</t>
  </si>
  <si>
    <t>D.-Elimina registros duplicados</t>
  </si>
  <si>
    <t>La cláusula "LIMIT" restringe la cantidad de registros devueltos por una consulta SQL.</t>
  </si>
  <si>
    <t>¿Cómo se combinan registros de dos tablas en SQL?</t>
  </si>
  <si>
    <t>A.-USING JOIN</t>
  </si>
  <si>
    <t>B.-COMBINE TABLES</t>
  </si>
  <si>
    <t>C.-MERGE TABLES</t>
  </si>
  <si>
    <t>D.-USING UNION</t>
  </si>
  <si>
    <t>El operador "UNION" combina los resultados de dos consultas SQL.</t>
  </si>
  <si>
    <t>¿Qué operador se usa para buscar un patrón de texto en SQL?</t>
  </si>
  <si>
    <t>A.-LIKE</t>
  </si>
  <si>
    <t>B.-FIND</t>
  </si>
  <si>
    <t>C.-MATCH</t>
  </si>
  <si>
    <t>D.-SEARCH</t>
  </si>
  <si>
    <t>El operador "LIKE" permite buscar patrones en columnas de texto en SQL.</t>
  </si>
  <si>
    <t>¿Cuál es la principal responsabilidad del Product Owner en un equipo Scrum?</t>
  </si>
  <si>
    <t>A.- Gestionar el equipo de desarrollo</t>
  </si>
  <si>
    <t>B.- Asegurar que se sigan las reglas de Scrum</t>
  </si>
  <si>
    <t>C.- Maximizar el valor del producto y gestionar el Product Backlog</t>
  </si>
  <si>
    <t>D.- Redactar reportes de avance para la gerencia</t>
  </si>
  <si>
    <t>El Product Owner es responsable de maximizar el valor del producto y gestionar el Product Backlog.</t>
  </si>
  <si>
    <t>¿Qué rol en Scrum es responsable de remover impedimentos para el equipo?</t>
  </si>
  <si>
    <t>A.- Product Owner</t>
  </si>
  <si>
    <t>B.- Scrum Master</t>
  </si>
  <si>
    <t>C.- Project Manager</t>
  </si>
  <si>
    <t>D.- Desarrollador líder</t>
  </si>
  <si>
    <t>El Scrum Master facilita el trabajo del equipo y remueve impedimentos que puedan afectar el avance.</t>
  </si>
  <si>
    <t>¿Quién decide cómo se implementa el trabajo del Sprint en Scrum?</t>
  </si>
  <si>
    <t>A.- El Scrum Master</t>
  </si>
  <si>
    <t>B.- El Product Owner</t>
  </si>
  <si>
    <t>C.- El equipo de desarrollo</t>
  </si>
  <si>
    <t>D.- El gerente del proyecto</t>
  </si>
  <si>
    <t>El equipo de desarrollo es autoorganizado y decide cómo hacer el trabajo.</t>
  </si>
  <si>
    <t>¿Cuál es una característica clave del Scrum Master?</t>
  </si>
  <si>
    <t>A.- Controla al equipo de desarrollo</t>
  </si>
  <si>
    <t>B.- Es un líder servicial que guía al equipo</t>
  </si>
  <si>
    <t>C.- Es responsable del presupuesto del proyecto</t>
  </si>
  <si>
    <t>D.- Es el único que puede modificar el Product Backlog</t>
  </si>
  <si>
    <t>El Scrum Master es un líder servicial, no un jefe. Ayuda al equipo a aplicar Scrum efectivamente.</t>
  </si>
  <si>
    <t>¿Quién es responsable de priorizar los elementos del Product Backlog?</t>
  </si>
  <si>
    <t>A.- Scrum Master</t>
  </si>
  <si>
    <t>B.- Development Team</t>
  </si>
  <si>
    <t>C.- Product Owner</t>
  </si>
  <si>
    <t>D.- Stakeholders</t>
  </si>
  <si>
    <t>El Product Owner es el único responsable de la priorización del Product Backlog.</t>
  </si>
  <si>
    <t>¿Qué actividad realiza el Product Owner durante el Sprint Planning?</t>
  </si>
  <si>
    <t>A.- Supervisa al equipo de desarrollo</t>
  </si>
  <si>
    <t>B.- Estima el esfuerzo de cada tarea</t>
  </si>
  <si>
    <t>C.- Define el objetivo del Sprint y prioriza los ítems del backlog</t>
  </si>
  <si>
    <t>D.- Asigna tareas a los desarrolladores</t>
  </si>
  <si>
    <t>El Product Owner colabora en la definición del objetivo del Sprint y ayuda a priorizar el backlog.</t>
  </si>
  <si>
    <t>¿Cuál es el papel del Scrum Master en la Daily Scrum?</t>
  </si>
  <si>
    <t>A.- Liderar la reunión y tomar decisiones técnicas</t>
  </si>
  <si>
    <t>B.- Asignar tareas pendientes</t>
  </si>
  <si>
    <t>C.- Facilitar la reunión si es necesario y asegurarse de que se realice</t>
  </si>
  <si>
    <t>D.- Evaluar el desempeño individual del equipo</t>
  </si>
  <si>
    <t>La Daily Scrum es para el equipo, pero el Scrum Master vela por su realización y facilita si es necesario.</t>
  </si>
  <si>
    <t>¿Quién tiene la última palabra sobre el contenido del Product Backlog?</t>
  </si>
  <si>
    <t>B.- Stakeholders</t>
  </si>
  <si>
    <t>D.- Equipo de desarrollo</t>
  </si>
  <si>
    <t>El Product Owner es el único responsable del contenido y orden del Product Backlog.</t>
  </si>
  <si>
    <t>¿Quién puede modificar el Product Backlog?</t>
  </si>
  <si>
    <t>A.- Cualquier miembro del equipo</t>
  </si>
  <si>
    <t>C.- El Scrum Master</t>
  </si>
  <si>
    <t>D.- El cliente directamente</t>
  </si>
  <si>
    <t>El Product Owner es responsable de gestionar y modificar el Product Backlog.</t>
  </si>
  <si>
    <t>¿Quién evalúa el trabajo completado durante la Sprint Review?</t>
  </si>
  <si>
    <t>A.- Solo el Scrum Master</t>
  </si>
  <si>
    <t>B.- El Product Owner con el equipo de desarrollo y stakeholders</t>
  </si>
  <si>
    <t>C.- El equipo de desarrollo de forma privada</t>
  </si>
  <si>
    <t>D.- Un auditor externo</t>
  </si>
  <si>
    <t>Durante la Sprint Review se presenta el incremento terminado y se discute con stakeholders y el Product Owner.</t>
  </si>
  <si>
    <t>¿Cuál es la estructura típica de una historia de usuario?</t>
  </si>
  <si>
    <t>A.- Qué, cómo y por qué</t>
  </si>
  <si>
    <t>B.- Quiero, necesito, deseo</t>
  </si>
  <si>
    <t>C.- Como &lt;rol&gt;, quiero &lt;acción&gt;, para &lt;beneficio&gt;</t>
  </si>
  <si>
    <t>D.- Quién, cuándo y dónde</t>
  </si>
  <si>
    <t>La forma más común es: "Como [rol], quiero [funcionalidad], para [beneficio]".</t>
  </si>
  <si>
    <t>¿Qué NO debería incluir una historia de usuario?</t>
  </si>
  <si>
    <t>A.- Roles y beneficios</t>
  </si>
  <si>
    <t>B.- Requisitos técnicos detallados</t>
  </si>
  <si>
    <t>C.- Criterios de aceptación</t>
  </si>
  <si>
    <t>D.- Objetivo de negocio</t>
  </si>
  <si>
    <t>Las historias de usuario deben centrarse en el valor para el usuario, no en detalles técnicos.</t>
  </si>
  <si>
    <t>¿Quién es el principal responsable de redactar las historias de usuario?</t>
  </si>
  <si>
    <t>B.- El equipo de desarrollo</t>
  </si>
  <si>
    <t>C.- El Product Owner</t>
  </si>
  <si>
    <t>D.- Los testers</t>
  </si>
  <si>
    <t>El Product Owner es el responsable de gestionar y redactar las historias de usuario en el backlog.</t>
  </si>
  <si>
    <t>¿Qué representa la "I" en el acrónimo INVEST relacionado con historias de usuario?</t>
  </si>
  <si>
    <t>A.- Iterativa</t>
  </si>
  <si>
    <t>B.- Independiente</t>
  </si>
  <si>
    <t>C.- Integrada</t>
  </si>
  <si>
    <t>D.- Inteligente</t>
  </si>
  <si>
    <t>INVEST es un acrónimo para evaluar historias: Independiente, Negociable, Valiosa, Estimable, Small y Testable.</t>
  </si>
  <si>
    <t>¿Cuál es el propósito de los criterios de aceptación en una historia de usuario?</t>
  </si>
  <si>
    <t>A.- Determinar quién la va a programar</t>
  </si>
  <si>
    <t>B.- Calcular el tiempo de desarrollo exacto</t>
  </si>
  <si>
    <t>C.- Establecer las condiciones bajo las cuales se considera que está completa</t>
  </si>
  <si>
    <t>D.- Asignar prioridades</t>
  </si>
  <si>
    <t>Los criterios de aceptación permiten definir claramente cuándo una historia está terminada y es funcional.</t>
  </si>
  <si>
    <t>¿Cuál es el principal beneficio de usar historias de usuario en Scrum?</t>
  </si>
  <si>
    <t>A.- Permiten medir el desempeño del equipo</t>
  </si>
  <si>
    <t>B.- Facilitan la estimación técnica detallada</t>
  </si>
  <si>
    <t>C.- Ayudan a enfocarse en el valor para el usuario final</t>
  </si>
  <si>
    <t>D.- Reemplazan toda la documentación del proyecto</t>
  </si>
  <si>
    <t>Las historias de usuario permiten mantener el enfoque en el valor que el producto entrega al usuario.</t>
  </si>
  <si>
    <t>¿Qué característica NO corresponde a una buena historia de usuario?</t>
  </si>
  <si>
    <t>A.- Pequeña y manejable</t>
  </si>
  <si>
    <t>B.- Completamente detallada desde el inicio</t>
  </si>
  <si>
    <t>C.- Independiente de otras historias</t>
  </si>
  <si>
    <t>D.- Valiosa para el cliente</t>
  </si>
  <si>
    <t>Las historias de usuario no deben estar completamente detalladas desde el inicio, deben permitir colaboración y discusión.</t>
  </si>
  <si>
    <t>¿Cuándo se considera que una historia de usuario está lista para incluirse en un Sprint?</t>
  </si>
  <si>
    <t>A.- Cuando ha sido aprobada por el Scrum Master</t>
  </si>
  <si>
    <t>B.- Cuando tiene una estimación exacta de horas</t>
  </si>
  <si>
    <t>C.- Cuando cumple con la Definition of Ready</t>
  </si>
  <si>
    <t>D.- Cuando ha sido votada por los stakeholders</t>
  </si>
  <si>
    <t>La Definition of Ready (DoR) define los criterios que debe cumplir una historia para estar lista para un Sprint.</t>
  </si>
  <si>
    <t>¿Quiénes participan en el refinamiento del Product Backlog donde se discuten historias de usuario?</t>
  </si>
  <si>
    <t>A.- Solo el Product Owner y el Scrum Master</t>
  </si>
  <si>
    <t>B.- Solo los stakeholders</t>
  </si>
  <si>
    <t>C.- El Product Owner y el equipo de desarrollo</t>
  </si>
  <si>
    <t>D.- Cualquier persona interesada del proyecto</t>
  </si>
  <si>
    <t>El Product Owner lidera el refinamiento, pero el equipo de desarrollo colabora activamente para aclarar y estimar historias.</t>
  </si>
  <si>
    <t>¿Cuál es una diferencia clave entre una historia de usuario y una tarea técnica?</t>
  </si>
  <si>
    <t>A.- Las tareas técnicas son siempre más importantes</t>
  </si>
  <si>
    <t>B.- Las historias de usuario se enfocan en el usuario y su valor</t>
  </si>
  <si>
    <t>C.- Las historias técnicas no necesitan criterios de aceptación</t>
  </si>
  <si>
    <t>D.- Las historias de usuario no se estiman</t>
  </si>
  <si>
    <t>Las historias de usuario están orientadas a la experiencia del usuario final, mientras que las tareas técnicas se centran en el cómo.</t>
  </si>
  <si>
    <t>¿Qué evento marca el inicio oficial de un Sprint en Scrum?</t>
  </si>
  <si>
    <t>A.- La reunión diaria (Daily Scrum)</t>
  </si>
  <si>
    <t>B.- La retrospectiva del Sprint anterior</t>
  </si>
  <si>
    <t>C.- La planificación del Sprint (Sprint Planning)</t>
  </si>
  <si>
    <t>D.- La revisión del Sprint (Sprint Review)</t>
  </si>
  <si>
    <t>El Sprint comienza con la reunión de planificación del Sprint, donde se define qué se hará y cómo se hará.</t>
  </si>
  <si>
    <t>¿Qué evento marca la conclusión de un Sprint?</t>
  </si>
  <si>
    <t>A.- Daily Scrum</t>
  </si>
  <si>
    <t>B.- Sprint Planning</t>
  </si>
  <si>
    <t>C.- Sprint Retrospective</t>
  </si>
  <si>
    <t>D.- Sprint Review</t>
  </si>
  <si>
    <t>El Sprint finaliza con la Sprint Retrospective, donde el equipo reflexiona sobre cómo mejorar en el siguiente Sprint.</t>
  </si>
  <si>
    <t>¿Cuál es el propósito principal del Daily Scrum?</t>
  </si>
  <si>
    <t>A.- Discutir problemas personales del equipo</t>
  </si>
  <si>
    <t>B.- Revisar los avances y planear el trabajo del día</t>
  </si>
  <si>
    <t>C.- Cambiar el Sprint Backlog</t>
  </si>
  <si>
    <t>D.- Revisar el presupuesto del proyecto</t>
  </si>
  <si>
    <t>El Daily Scrum es una reunión diaria de 15 minutos donde los desarrolladores sincronizan su trabajo y planifican el día.</t>
  </si>
  <si>
    <t>¿Qué sucede durante la Sprint Review?</t>
  </si>
  <si>
    <t>A.- Se cancelan historias no completadas</t>
  </si>
  <si>
    <t>B.- El equipo presenta lo que se completó durante el Sprint</t>
  </si>
  <si>
    <t>C.- Se identifican conflictos personales</t>
  </si>
  <si>
    <t>D.- Se asignan tareas al siguiente Sprint</t>
  </si>
  <si>
    <t>Durante la Sprint Review, el equipo muestra el incremento desarrollado y recoge retroalimentación del Product Owner y stakeholders.</t>
  </si>
  <si>
    <t>¿Qué es un Sprint en el marco de trabajo Scrum?</t>
  </si>
  <si>
    <t>A.- Una reunión de planificación</t>
  </si>
  <si>
    <t>B.- Un ciclo de trabajo fijo en el que se crea un incremento del producto</t>
  </si>
  <si>
    <t>C.- Una entrega final al cliente</t>
  </si>
  <si>
    <t>D.- Un evento para revisar el rendimiento del equipo</t>
  </si>
  <si>
    <t>El Sprint es el corazón de Scrum: un período de tiempo fijo (generalmente de 2 a 4 semanas) donde se crea un incremento usable y potencialmente entregable.</t>
  </si>
  <si>
    <t>¿Quién es responsable de facilitar la Retrospectiva del Sprint?</t>
  </si>
  <si>
    <t>A.- El Product Owner</t>
  </si>
  <si>
    <t>B.- El Scrum Master</t>
  </si>
  <si>
    <t>C.- El equipo completo sin líder</t>
  </si>
  <si>
    <t>D.- El Project Manager</t>
  </si>
  <si>
    <t>El Scrum Master facilita la Retrospectiva del Sprint para ayudar al equipo a inspeccionar y adaptar su forma de trabajar.</t>
  </si>
  <si>
    <t>¿Cuál de las siguientes actividades NO es propia de una Sprint Retrospective?</t>
  </si>
  <si>
    <t>A.- Identificar qué funcionó bien</t>
  </si>
  <si>
    <t>B.- Evaluar al Product Owner</t>
  </si>
  <si>
    <t>C.- Plantear mejoras para el próximo Sprint</t>
  </si>
  <si>
    <t>D.- Revisar dificultades enfrentadas</t>
  </si>
  <si>
    <t>En la Retrospectiva se enfoca en el proceso y la colaboración del equipo, no en evaluar personas individualmente.</t>
  </si>
  <si>
    <t>¿Qué se inspecciona principalmente durante la Sprint Review?</t>
  </si>
  <si>
    <t>A.- El desempeño individual del equipo</t>
  </si>
  <si>
    <t>B.- El incremento del producto desarrollado</t>
  </si>
  <si>
    <t>C.- El presupuesto del proyecto</t>
  </si>
  <si>
    <t>D.- Los conflictos personales del equipo</t>
  </si>
  <si>
    <t>En la Sprint Review se inspecciona el incremento creado durante el Sprint y se obtiene retroalimentación para ajustar el Product Backlog.</t>
  </si>
  <si>
    <t>¿Cuál es la duración máxima recomendada del Daily Scrum?</t>
  </si>
  <si>
    <t>A.- 60 minutos</t>
  </si>
  <si>
    <t>B.- 30 minutos</t>
  </si>
  <si>
    <t>C.- 45 minutos</t>
  </si>
  <si>
    <t>D.- 15 minutos</t>
  </si>
  <si>
    <t>El Daily Scrum debe durar como máximo 15 minutos para ser ágil y eficiente.</t>
  </si>
  <si>
    <t>¿Quiénes deben participar activamente en el Daily Scrum?</t>
  </si>
  <si>
    <t>A.- Solo el Product Owner</t>
  </si>
  <si>
    <t>B.- Solo el Scrum Master</t>
  </si>
  <si>
    <t>C.- Todo el equipo de desarrollo</t>
  </si>
  <si>
    <t>D.- Solo los líderes del equipo</t>
  </si>
  <si>
    <t>El Daily Scrum está diseñado para el equipo de desarrollo, quienes lo conducen y lo aprovechan para coordinar el trabajo.</t>
  </si>
  <si>
    <t>¿Cuál de los siguientes temas es apropiado para discutir en el Daily Scrum?</t>
  </si>
  <si>
    <t>A.- Cambios en el presupuesto</t>
  </si>
  <si>
    <t>B.- Problemas personales entre miembros del equipo</t>
  </si>
  <si>
    <t>C.- El trabajo realizado ayer, lo que se hará hoy y los impedimentos</t>
  </si>
  <si>
    <t>D.- Resultados de encuestas de satisfacción del cliente</t>
  </si>
  <si>
    <t>El equipo comparte lo que hizo ayer, lo que hará hoy y cualquier impedimento que afecte el trabajo.</t>
  </si>
  <si>
    <t>¿Quién debe facilitar el Daily Scrum?</t>
  </si>
  <si>
    <t>C.- Cualquier miembro del equipo de desarrollo</t>
  </si>
  <si>
    <t>D.- Un líder designado por la empresa</t>
  </si>
  <si>
    <t>En Scrum, el Daily Scrum es autoorganizado por el equipo de desarrollo. No es facilitado por el Scrum Master, aunque puede apoyar si se solicita.</t>
  </si>
  <si>
    <t>¿Cuántas ceremonias principales existen en Scrum?</t>
  </si>
  <si>
    <t>A.- 3</t>
  </si>
  <si>
    <t>B.- 4</t>
  </si>
  <si>
    <t>C.- 5</t>
  </si>
  <si>
    <t>D.- 6</t>
  </si>
  <si>
    <t>Scrum tiene 4 ceremonias principales: Sprint Planning, Daily Scrum, Sprint Review y Sprint Retrospective.</t>
  </si>
  <si>
    <t>¿Cuál es el propósito de la ceremonia Sprint Planning?</t>
  </si>
  <si>
    <t>A.- Revisar los errores del Sprint anterior</t>
  </si>
  <si>
    <t>B.- Reunirse con el cliente</t>
  </si>
  <si>
    <t>C.- Planificar el trabajo que se realizará durante el Sprint</t>
  </si>
  <si>
    <t>D.- Presentar informes financieros</t>
  </si>
  <si>
    <t>El Sprint Planning se utiliza para definir qué se hará durante el Sprint y cómo se logrará.</t>
  </si>
  <si>
    <t>¿Cuándo se realiza la Sprint Review?</t>
  </si>
  <si>
    <t>A.- Al inicio del Sprint</t>
  </si>
  <si>
    <t>B.- Cada mañana</t>
  </si>
  <si>
    <t>C.- Justo después de la Sprint Retrospective</t>
  </si>
  <si>
    <t>D.- Al final del Sprint</t>
  </si>
  <si>
    <t>La Sprint Review se realiza al final del Sprint para mostrar el incremento al Product Owner y partes interesadas.</t>
  </si>
  <si>
    <t>¿Qué ceremonia de Scrum se enfoca en mejorar los procesos del equipo?</t>
  </si>
  <si>
    <t>A.- Sprint Review</t>
  </si>
  <si>
    <t>B.- Daily Scrum</t>
  </si>
  <si>
    <t>D.- Sprint Planning</t>
  </si>
  <si>
    <t>La Sprint Retrospective permite al equipo reflexionar sobre cómo mejorar su trabajo y procesos.</t>
  </si>
  <si>
    <t>¿Qué sucede durante la ceremonia Daily Scrum?</t>
  </si>
  <si>
    <t>A.- Se revisan los entregables finales del Sprint</t>
  </si>
  <si>
    <t>B.- El Product Owner define prioridades</t>
  </si>
  <si>
    <t>C.- El equipo sincroniza su trabajo y detecta impedimentos</t>
  </si>
  <si>
    <t>D.- Se presentan estadísticas del proyecto al cliente</t>
  </si>
  <si>
    <t>Durante el Daily Scrum, el equipo se reúne brevemente para coordinar esfuerzos y detectar obstáculos.</t>
  </si>
  <si>
    <t>¿Qué es una épica en Scrum?</t>
  </si>
  <si>
    <t>A.- Una reunión de planificación extendida</t>
  </si>
  <si>
    <t>B.- Un conjunto de historias de usuario relacionadas que representan una funcionalidad grande</t>
  </si>
  <si>
    <t>C.- Una tarea repetitiva que se realiza en cada Sprint</t>
  </si>
  <si>
    <t>D.- Un reporte de desempeño del equipo</t>
  </si>
  <si>
    <t>Una épica es una gran historia de usuario que debe dividirse en historias más pequeñas para ser manejable.</t>
  </si>
  <si>
    <t>¿Cuál es una característica común de una épica en Scrum?</t>
  </si>
  <si>
    <t>A.- Se completa en un solo Sprint</t>
  </si>
  <si>
    <t>B.- Es una actividad diaria</t>
  </si>
  <si>
    <t>C.- Es demasiado grande para ser completada en un solo Sprint</t>
  </si>
  <si>
    <t>D.- Requiere aprobación del cliente en cada iteración</t>
  </si>
  <si>
    <t>Las épicas generalmente son demasiado grandes para ser completadas en un solo Sprint y deben dividirse.</t>
  </si>
  <si>
    <t>¿Dónde se documentan las épicas en Scrum?</t>
  </si>
  <si>
    <t>A.- En el Product Backlog</t>
  </si>
  <si>
    <t>B.- En el Sprint Backlog</t>
  </si>
  <si>
    <t>C.- En la Retrospectiva</t>
  </si>
  <si>
    <t>D.- En el Daily Scrum</t>
  </si>
  <si>
    <t>Las épicas, como todas las historias de usuario, se documentan en el Product Backlog.</t>
  </si>
  <si>
    <t>¿Quién es responsable de gestionar las épicas dentro del equipo Scrum?</t>
  </si>
  <si>
    <t>A.- El equipo de desarrollo</t>
  </si>
  <si>
    <t>D.- El cliente</t>
  </si>
  <si>
    <t>El Product Owner es responsable de gestionar el Product Backlog, incluyendo las épicas.</t>
  </si>
  <si>
    <t>¿Qué debe hacerse con una épica antes de incluirla en un Sprint?</t>
  </si>
  <si>
    <t>A.- Aprobarla con el cliente final</t>
  </si>
  <si>
    <t>B.- Convertirla en tareas técnicas</t>
  </si>
  <si>
    <t>C.- Dividirla en historias de usuario más pequeñas</t>
  </si>
  <si>
    <t>D.- Moverla directamente al Sprint Backlog</t>
  </si>
  <si>
    <t>Las épicas deben dividirse en historias de usuario más pequeñas y manejables antes de agregarlas a un Sprint.</t>
  </si>
  <si>
    <t>¿Qué gráfica se usa comúnmente para visualizar el progreso diario en un Sprint?</t>
  </si>
  <si>
    <t>A.- Gráfica de flujo acumulativo</t>
  </si>
  <si>
    <t>B.- Diagrama de Gantt</t>
  </si>
  <si>
    <t>C.- Gráfica de Burn Down</t>
  </si>
  <si>
    <t>D.- Gráfica de barras</t>
  </si>
  <si>
    <t>La gráfica de Burn Down muestra cuánto trabajo queda por hacer y ayuda a visualizar el progreso del Sprint.</t>
  </si>
  <si>
    <t>¿Qué representa el eje Y en una gráfica de Burn Down?</t>
  </si>
  <si>
    <t>A.- El tiempo transcurrido</t>
  </si>
  <si>
    <t>B.- La cantidad de trabajo restante</t>
  </si>
  <si>
    <t>C.- El número de errores encontrados</t>
  </si>
  <si>
    <t>D.- La velocidad del equipo</t>
  </si>
  <si>
    <t>En una gráfica de Burn Down, el eje Y representa la cantidad de trabajo restante (por ejemplo, en horas o puntos de historia).</t>
  </si>
  <si>
    <t>¿Qué permite visualizar una gráfica de flujo acumulativo?</t>
  </si>
  <si>
    <t>A.- La velocidad del equipo en cada Sprint</t>
  </si>
  <si>
    <t>B.- El trabajo planificado y el real completado</t>
  </si>
  <si>
    <t>C.- El flujo de trabajo y los cuellos de botella</t>
  </si>
  <si>
    <t>D.- Las tareas asignadas a cada miembro del equipo</t>
  </si>
  <si>
    <t>La gráfica de flujo acumulativo muestra cómo fluye el trabajo a través del sistema, ayudando a identificar cuellos de botella.</t>
  </si>
  <si>
    <t>¿Qué puede indicar una línea plana en la gráfica de Burn Down durante varios días?</t>
  </si>
  <si>
    <t>A.- Que el equipo ha completado mucho trabajo rápidamente</t>
  </si>
  <si>
    <t>B.- Que no se ha completado trabajo durante ese periodo</t>
  </si>
  <si>
    <t>C.- Que el Product Owner ha agregado nuevas historias</t>
  </si>
  <si>
    <t>D.- Que el Sprint ha finalizado</t>
  </si>
  <si>
    <t>Una línea plana en la gráfica de Burn Down indica que no se ha completado trabajo en ese periodo.</t>
  </si>
  <si>
    <t>¿Cuál es el propósito principal de las gráficas en Scrum?</t>
  </si>
  <si>
    <t>A.- Controlar el trabajo del equipo de forma estricta</t>
  </si>
  <si>
    <t>B.- Visualizar el progreso y facilitar la toma de decisiones</t>
  </si>
  <si>
    <t>C.- Informar a los clientes sobre problemas financieros</t>
  </si>
  <si>
    <t>D.- Crear reportes para la alta dirección</t>
  </si>
  <si>
    <t>Las gráficas en Scrum ayudan a visualizar el trabajo del equipo y facilitan la toma de decisiones informadas.</t>
  </si>
  <si>
    <t>¿Cuál de los siguientes es un artefacto oficial de Scrum?</t>
  </si>
  <si>
    <t>A.- Diagrama de Gantt</t>
  </si>
  <si>
    <t>B.- Product Backlog</t>
  </si>
  <si>
    <t>C.- Documento de requerimientos funcionales</t>
  </si>
  <si>
    <t>D.- Matriz RACI</t>
  </si>
  <si>
    <t>El Product Backlog es uno de los artefactos oficiales de Scrum, junto con el Sprint Backlog y el Incremento.</t>
  </si>
  <si>
    <t>¿Qué contiene el Sprint Backlog?</t>
  </si>
  <si>
    <t>A.- Todas las tareas del proyecto</t>
  </si>
  <si>
    <t>B.- Los entregables completos del proyecto</t>
  </si>
  <si>
    <t>C.- Las tareas seleccionadas del Product Backlog para el Sprint actual</t>
  </si>
  <si>
    <t>D.- Una lista de errores encontrados en producción</t>
  </si>
  <si>
    <t>El Sprint Backlog contiene los elementos del Product Backlog seleccionados para el Sprint actual, junto con un plan para entregarlos.</t>
  </si>
  <si>
    <t>¿Qué representa el Incremento en Scrum?</t>
  </si>
  <si>
    <t>A.- Un error corregido</t>
  </si>
  <si>
    <t>B.- Una historia de usuario incompleta</t>
  </si>
  <si>
    <t>C.- La suma de todos los elementos completados del Product Backlog</t>
  </si>
  <si>
    <t>D.- El backlog del próximo Sprint</t>
  </si>
  <si>
    <t>El Incremento es la suma de todos los elementos del Product Backlog completados durante el Sprint y los Sprints anteriores.</t>
  </si>
  <si>
    <t>¿Quién es responsable de mantener el Product Backlog?</t>
  </si>
  <si>
    <t>C.- Equipo de desarrollo</t>
  </si>
  <si>
    <t>D.- Product Owner</t>
  </si>
  <si>
    <t>El Product Owner es responsable de mantener, priorizar y actualizar el Product Backlog.</t>
  </si>
  <si>
    <t>¿Qué se necesita para que un Incremento sea considerado "Hecho" en Scrum?</t>
  </si>
  <si>
    <t>A.- Que el cliente lo apruebe</t>
  </si>
  <si>
    <t>B.- Que cumpla con la definición de "Terminado" del equipo</t>
  </si>
  <si>
    <t>C.- Que esté documentado en una presentación</t>
  </si>
  <si>
    <t>D.- Que el Scrum Master lo valide</t>
  </si>
  <si>
    <t>Para que un Incremento sea considerado "Hecho", debe cumplir con la definición de "Terminado" acordada por el equipo Scrum.</t>
  </si>
  <si>
    <t>¿Qué es una vista materializada en SQL?</t>
  </si>
  <si>
    <t>A.- Una tabla temporal que desaparece al cerrar sesión</t>
  </si>
  <si>
    <t>B.- Una vista que almacena físicamente los datos en disco</t>
  </si>
  <si>
    <t>C.- Una consulta que se ejecuta cada vez que se accede a la vista</t>
  </si>
  <si>
    <t>D.- Una función almacenada</t>
  </si>
  <si>
    <t>Una vista materializada guarda físicamente los resultados de una consulta, mejorando el rendimiento en lecturas.</t>
  </si>
  <si>
    <t>¿Cuál es una ventaja principal de usar vistas materializadas?</t>
  </si>
  <si>
    <t>A.- Siempre muestran datos en tiempo real</t>
  </si>
  <si>
    <t>B.- Reducen el tiempo de procesamiento de consultas complejas</t>
  </si>
  <si>
    <t>C.- Permiten modificar directamente los datos</t>
  </si>
  <si>
    <t>D.- No requieren espacio en disco</t>
  </si>
  <si>
    <t>Las vistas materializadas almacenan los resultados, por lo que las consultas complejas se ejecutan más rápido.</t>
  </si>
  <si>
    <t>¿Qué comando se usa para actualizar los datos de una vista materializada?</t>
  </si>
  <si>
    <t>A.- ALTER VIEW</t>
  </si>
  <si>
    <t>B.- REFRESH MATERIALIZED VIEW</t>
  </si>
  <si>
    <t>C.- UPDATE MATERIALIZED</t>
  </si>
  <si>
    <t>D.- COMMIT</t>
  </si>
  <si>
    <t>El comando correcto para actualizar los datos de una vista materializada es REFRESH MATERIALIZED VIEW.</t>
  </si>
  <si>
    <t>¿Con qué frecuencia se pueden actualizar las vistas materializadas?</t>
  </si>
  <si>
    <t>A.- Sólo al crearlas</t>
  </si>
  <si>
    <t>B.- Nunca</t>
  </si>
  <si>
    <t>C.- Manual o automáticamente según configuración</t>
  </si>
  <si>
    <t>D.- Solo cuando cambia el esquema de la base de datos</t>
  </si>
  <si>
    <t>Las vistas materializadas pueden actualizarse manualmente o con una programación automática definida.</t>
  </si>
  <si>
    <t>¿Cuál es una diferencia entre una vista normal y una vista materializada?</t>
  </si>
  <si>
    <t>A.- La vista normal almacena datos, la materializada no</t>
  </si>
  <si>
    <t>B.- La vista materializada se actualiza en tiempo real</t>
  </si>
  <si>
    <t>C.- La vista normal siempre es más rápida que la materializada</t>
  </si>
  <si>
    <t>D.- La vista materializada almacena datos físicamente, la normal no</t>
  </si>
  <si>
    <t>La vista materializada guarda físicamente los datos, mientras que la vista normal solo define una consulta sin almacenar datos.</t>
  </si>
  <si>
    <t>¿Qué es una consulta dinámica en SQL o PL/SQL?</t>
  </si>
  <si>
    <t>A.- Una consulta que se escribe en tiempo de compilación</t>
  </si>
  <si>
    <t>B.- Una consulta almacenada en una vista</t>
  </si>
  <si>
    <t>C.- Una consulta construida y ejecutada en tiempo de ejecución</t>
  </si>
  <si>
    <t>D.- Una consulta que sólo se usa en triggers</t>
  </si>
  <si>
    <t>Las consultas dinámicas se construyen como cadenas de texto y se ejecutan en tiempo de ejecución, permitiendo mayor flexibilidad.</t>
  </si>
  <si>
    <t>¿Qué función se utiliza en PL/SQL para ejecutar una consulta dinámica?</t>
  </si>
  <si>
    <t>A.- EXECUTE QUERY</t>
  </si>
  <si>
    <t>B.- EXECUTE IMMEDIATE</t>
  </si>
  <si>
    <t>C.- RUN SQL</t>
  </si>
  <si>
    <t>D.- DBMS_EXECUTE</t>
  </si>
  <si>
    <t>EXECUTE IMMEDIATE permite ejecutar sentencias SQL almacenadas en variables tipo cadena dentro de un bloque PL/SQL.</t>
  </si>
  <si>
    <t>¿Cuál es una ventaja del uso de consultas dinámicas?</t>
  </si>
  <si>
    <t>A.- Menor uso de recursos del sistema</t>
  </si>
  <si>
    <t>B.- Facilidad para construir consultas estáticas</t>
  </si>
  <si>
    <t>C.- Flexibilidad para construir sentencias en tiempo de ejecución</t>
  </si>
  <si>
    <t>D.- Mejora el rendimiento en todos los casos</t>
  </si>
  <si>
    <t>Las consultas dinámicas permiten adaptarse a distintos escenarios en tiempo de ejecución, como condiciones o tablas variables.</t>
  </si>
  <si>
    <t>¿Qué riesgo común está asociado con el uso de consultas dinámicas?</t>
  </si>
  <si>
    <t>A.- Pérdida de memoria RAM</t>
  </si>
  <si>
    <t>B.- Mal uso de los índices</t>
  </si>
  <si>
    <t>C.- Inyección SQL</t>
  </si>
  <si>
    <t>D.- Errores de sintaxis en vistas</t>
  </si>
  <si>
    <t>Si no se validan correctamente los valores usados en consultas dinámicas, pueden ocurrir ataques de inyección SQL.</t>
  </si>
  <si>
    <t>¿Qué tipo de variable se debe usar en PL/SQL para almacenar una consulta dinámica?</t>
  </si>
  <si>
    <t>A.- BOOLEAN</t>
  </si>
  <si>
    <t>B.- DATE</t>
  </si>
  <si>
    <t>C.- VARCHAR2</t>
  </si>
  <si>
    <t>D.- NUMBER</t>
  </si>
  <si>
    <t>Las consultas dinámicas se almacenan como cadenas, por lo que se deben usar variables tipo VARCHAR2.</t>
  </si>
  <si>
    <t>¿Qué sucede si no se maneja una excepción en un bloque PL/SQL?</t>
  </si>
  <si>
    <t>A.- El programa continúa normalmente</t>
  </si>
  <si>
    <t>B.- El bloque se salta</t>
  </si>
  <si>
    <t>C.- Se lanza un error y se detiene la ejecución</t>
  </si>
  <si>
    <t>D.- La excepción se convierte en una advertencia</t>
  </si>
  <si>
    <t>Si una excepción no se maneja, el error se propaga y puede detener completamente la ejecución del programa.</t>
  </si>
  <si>
    <t>¿Qué es una excepción en PL/SQL?</t>
  </si>
  <si>
    <t>A.- Un tipo de variable</t>
  </si>
  <si>
    <t>B.- Una estructura de bucle</t>
  </si>
  <si>
    <t>C.- Una condición de error o evento inesperado</t>
  </si>
  <si>
    <t>D.- Un operador lógico</t>
  </si>
  <si>
    <t>Las excepciones son eventos que interrumpen el flujo normal del programa, como errores en tiempo de ejecución.</t>
  </si>
  <si>
    <t>¿Cuál es la cláusula utilizada para capturar excepciones en PL/SQL?</t>
  </si>
  <si>
    <t>A.- WHEN OTHERS THEN</t>
  </si>
  <si>
    <t>B.- IF ERROR THEN</t>
  </si>
  <si>
    <t>C.- HANDLE ERROR</t>
  </si>
  <si>
    <t>D.- ON ERROR DO</t>
  </si>
  <si>
    <t>La cláusula WHEN OTHERS THEN captura cualquier excepción no manejada previamente en un bloque EXCEPTION.</t>
  </si>
  <si>
    <t>¿Qué hace la instrucción RAISE en PL/SQL?</t>
  </si>
  <si>
    <t>A.- Termina la ejecución del programa</t>
  </si>
  <si>
    <t>B.- Declara una variable</t>
  </si>
  <si>
    <t>C.- Lanza una excepción manualmente</t>
  </si>
  <si>
    <t>D.- Reinicia un bucle</t>
  </si>
  <si>
    <t>La instrucción RAISE permite generar una excepción de manera explícita para ser manejada en un bloque EXCEPTION.</t>
  </si>
  <si>
    <t>¿Qué tipo de excepción es NO_DATA_FOUND?</t>
  </si>
  <si>
    <t>A.- Definida por el usuario</t>
  </si>
  <si>
    <t>B.- Predefinida por PL/SQL</t>
  </si>
  <si>
    <t>C.- Excepción de sintaxis</t>
  </si>
  <si>
    <t>D.- Error de compilación</t>
  </si>
  <si>
    <t>NO_DATA_FOUND es una excepción predefinida que ocurre cuando una consulta SELECT INTO no retorna datos.</t>
  </si>
  <si>
    <t>¿Qué es un trigger en PL/SQL?</t>
  </si>
  <si>
    <t>A.- Una consulta que devuelve múltiples resultados</t>
  </si>
  <si>
    <t>B.- Una instrucción para manejar errores</t>
  </si>
  <si>
    <t>C.- Un procedimiento que se ejecuta automáticamente al ocurrir un evento</t>
  </si>
  <si>
    <t>D.- Un tipo de tabla temporal</t>
  </si>
  <si>
    <t>Un trigger es un bloque de código que se ejecuta automáticamente cuando ocurre un evento en una tabla, como un INSERT, UPDATE o DELETE.</t>
  </si>
  <si>
    <t>¿Cuál de los siguientes eventos puede activar un trigger?</t>
  </si>
  <si>
    <t>A.- SELECT</t>
  </si>
  <si>
    <t>B.- MERGE</t>
  </si>
  <si>
    <t>C.- UPDATE</t>
  </si>
  <si>
    <t>D.- PRINT</t>
  </si>
  <si>
    <t>Los triggers se activan por eventos como INSERT, UPDATE y DELETE, no por consultas SELECT.</t>
  </si>
  <si>
    <t>¿En qué momento se puede ejecutar un trigger?</t>
  </si>
  <si>
    <t>A.- Solo antes del evento</t>
  </si>
  <si>
    <t>B.- Solo después del evento</t>
  </si>
  <si>
    <t>C.- Antes o después del evento</t>
  </si>
  <si>
    <t>D.- Solo durante la creación de la tabla</t>
  </si>
  <si>
    <t>Un trigger puede definirse para ejecutarse antes (BEFORE) o después (AFTER) de un evento como un INSERT, UPDATE o DELETE.</t>
  </si>
  <si>
    <t>¿Qué palabra clave se usa para definir un trigger en PL/SQL?</t>
  </si>
  <si>
    <t>A.- CREATE PROCEDURE</t>
  </si>
  <si>
    <t>B.- CREATE TRIGGER</t>
  </si>
  <si>
    <t>C.- CREATE FUNCTION</t>
  </si>
  <si>
    <t>D.- DEFINE TRIGGER</t>
  </si>
  <si>
    <t>La definición de un trigger comienza con CREATE TRIGGER seguido del nombre y evento que lo activa.</t>
  </si>
  <si>
    <t>¿Cuál es el propósito principal de los triggers?</t>
  </si>
  <si>
    <t>A.- Optimizar las consultas</t>
  </si>
  <si>
    <t>B.- Ejecutar automáticamente acciones ante ciertos eventos</t>
  </si>
  <si>
    <t>C.- Crear nuevas tablas dinámicamente</t>
  </si>
  <si>
    <t>D.- Mejorar el rendimiento del servidor</t>
  </si>
  <si>
    <t>Los triggers permiten automatizar tareas cuando ocurren eventos como modificaciones a los datos en las tablas.</t>
  </si>
  <si>
    <t>El coste de realizar un ataque se denomina:</t>
  </si>
  <si>
    <t>A.- Coste de ataque.</t>
  </si>
  <si>
    <t>B.- Cost to break.</t>
  </si>
  <si>
    <t>C.- Cost to fix.</t>
  </si>
  <si>
    <t>D.- Coste de reconstrucción.</t>
  </si>
  <si>
    <t>Para que la ciberseguridad sea rentable:</t>
  </si>
  <si>
    <t>A.- Es difícilmente rentable.</t>
  </si>
  <si>
    <t>B.- Coste construcción defensas &lt; (cost to fix + perdida de beneficio + coste reconstrucción).</t>
  </si>
  <si>
    <t>C.- Cost to fix &lt; (perdida de beneficio).</t>
  </si>
  <si>
    <t>D.- Cost to fix &lt; (perdida de reconstrucción).</t>
  </si>
  <si>
    <t>Del lado de la organización, los costes básicos son: coste de construcción de las medidas defensivas, coste de reparación de vulnerabilidades y…</t>
  </si>
  <si>
    <t>A.- Coste de reconstrucción de sistemas.</t>
  </si>
  <si>
    <t>B.- Coste de ruptura.</t>
  </si>
  <si>
    <t>C.- Coste de construcción.</t>
  </si>
  <si>
    <t>D.- Ninguna de las anteriores.</t>
  </si>
  <si>
    <t>Al tipo de protesta con fines de activismo político, social o económico en forma de ataques cibernéticos. (Anonymous, Wikileaks…), se la denomina:</t>
  </si>
  <si>
    <t>¿Cuál es el ataque relacionado con los actores internos más frecuente?</t>
  </si>
  <si>
    <t>Las APTs son características de:</t>
  </si>
  <si>
    <t>¿Cómo se puede asegurar la integridad de los sistemas?</t>
  </si>
  <si>
    <t>¿Para qué es necesario un correcto diseño de logging o registro?</t>
  </si>
  <si>
    <t>Proporcionar la prueba de que una determinada transmisión o recepción ha sido realizada, sin que su receptor/transmisor pueda negar que se haya producido, se denomina:</t>
  </si>
  <si>
    <t>Las descripciones sobre cómo configurar determinados elementos de seguridad para que sean aplicados de manera uniforme en toda la organización se denominan:</t>
  </si>
  <si>
    <t>Las descripciones detalladas de los pasos para llevar a cabo una determinada tarea por los usuarios sin dudas se llaman:</t>
  </si>
  <si>
    <t>Los estándares, directrices y procedimientos son medios para implementar las:</t>
  </si>
  <si>
    <t>La política general de seguridad de una organización:</t>
  </si>
  <si>
    <t>Un sistema de detección de intrusiones se usa en la fase de:</t>
  </si>
  <si>
    <t>Un cortafuegos de instala en la fase de:</t>
  </si>
  <si>
    <t>El tipo de norma que estandariza el uso de aspectos específicos del sistema (indican un uso correcto y responsabilidad del usuario y son obligatorias) se denomina:</t>
  </si>
  <si>
    <t>El tipo de norma destinada a ayudar a los usuarios a aplicar las medidas de seguridad correctamente al proporcionar un razonamiento donde no se dispone de los procedimientos correctos, se denomina:</t>
  </si>
  <si>
    <t>El tipo de norma que se ocupa de tareas específicas, mostrando cada paso que se debe realizar y que es muy útil en tareas que son repetitivas, como en un procedimiento de backup y recuperación, se denomina:</t>
  </si>
  <si>
    <t>Un sistema de gestión para la seguridad de la información:</t>
  </si>
  <si>
    <t>¿Cuál es la actividad más importante en un SGSI?</t>
  </si>
  <si>
    <t>La declaración de aplicabilidad de salvaguardas es propia de la fase (ISO27001):</t>
  </si>
  <si>
    <t>Una profesión puede caracterizarse por el desarrollo de algunos de los siguientes criterios:</t>
  </si>
  <si>
    <t>El hacker ético tiene como elemento interesante el situar:</t>
  </si>
  <si>
    <t>Un ejemplo de recopilación de requisitos en el área (que puede considerarse como definitorio) de qué debe saber un profesional de la seguridad de la información sería:</t>
  </si>
  <si>
    <t>La certificación Certified Information Systems Security Professional (CISSP) es certificada por:</t>
  </si>
  <si>
    <t>La certificación Certified Information Systems Security Professional (CISSP), incluye:</t>
  </si>
  <si>
    <t>Un CISSP está certificado como profesional para:</t>
  </si>
  <si>
    <t>¿Cuál es una desventaja de OCTAVE?</t>
  </si>
  <si>
    <t>¿Cuál es la principal desventaja de MAGERIT?</t>
  </si>
  <si>
    <t>MAGERIT está basada en las normas:</t>
  </si>
  <si>
    <t>¿En qué fase se realiza la toma de decisiones?</t>
  </si>
  <si>
    <t>En el comité de dirección existe la figura del:</t>
  </si>
  <si>
    <t>El director del proyecto y su equipo planifican toda la realización del proyecto a través de:</t>
  </si>
  <si>
    <t>El impacto es igual a:</t>
  </si>
  <si>
    <t>El actor o agente que es la fuente de peligro por diferentes motivaciones como factores económicos, de prestigio u otros, se denomina:</t>
  </si>
  <si>
    <t>¿Cómo hay que valorar una salvaguarda?</t>
  </si>
  <si>
    <t>¿Cuál es la solución ideal para mitigar el riesgo?</t>
  </si>
  <si>
    <t>Debe haber un programa de seguridad para:</t>
  </si>
  <si>
    <t>Los aspectos que definir en la gestión del riesgo son:</t>
  </si>
  <si>
    <t>La fase de análisis de riesgos con PILAR comporta las siguientes actividades:</t>
  </si>
  <si>
    <t>Señale la respuesta correcta. El coste de las salvaguardas debe ser inferior a:</t>
  </si>
  <si>
    <t>Los perfiles de seguridad que incorpora la herramienta PILAR son:</t>
  </si>
  <si>
    <t>¿En qué fase se debe realizar un test de penetración a una app web?</t>
  </si>
  <si>
    <t>La derivación de requisitos de seguridad depende de:</t>
  </si>
  <si>
    <t>Antes del test de penetración, ¿qué actividades de seguridad hay que llevar a cabo?</t>
  </si>
  <si>
    <t>Los web services son un tipo de arquitectura:</t>
  </si>
  <si>
    <t>¿Qué tipo de aplicaciones móviles tienen más limitado el acceso a los dispositivos físicos del móvil?</t>
  </si>
  <si>
    <t>En la arquitectura clásica de aplicaciones web, ¿Dónde se genera la capa de presentación?</t>
  </si>
  <si>
    <t>¿Qué método se suele usar en las arquitecturas de aplicaciones AJAX para comunicación con el servidor?</t>
  </si>
  <si>
    <t>¿Qué tecnologías usa la arquitectura de aplicaciones AJAX?</t>
  </si>
  <si>
    <t>En la arquitectura RIA de aplicaciones web, ¿dónde se genera la capa de presentación?</t>
  </si>
  <si>
    <t>¿Qué método HTTP permite conectarse a un servicio situado detrás de un proxy?</t>
  </si>
  <si>
    <t>¿Qué método HTTP permite obtener solo las cabeceras de la aplicación web?</t>
  </si>
  <si>
    <t>¿Qué método HTTP envía los parámetros en la URL?</t>
  </si>
  <si>
    <t>¿Cómo se previene XSS?</t>
  </si>
  <si>
    <t>¿Qué vectores de entrada se pueden usar para intentar XSS?</t>
  </si>
  <si>
    <t>¿Cuál es un ejemplo de payload XSS?</t>
  </si>
  <si>
    <t>La vulnerabilidad LFI o inclusión de ficheros…</t>
  </si>
  <si>
    <t>¿Qué vectores de entrada se pueden usar para intentar explotar LFI?</t>
  </si>
  <si>
    <t>¿Cuál es un ejemplo de payload de RFI?</t>
  </si>
  <si>
    <t>¿Por qué motivo se puede dar un ataque de suplantación en una aplicación web mediante fijación de sesión?</t>
  </si>
  <si>
    <t>¿Cómo se puede conseguir explotar Server Side Request Forgery?:</t>
  </si>
  <si>
    <t>¿Cómo se puede mitigar la vulnerabilidad Server Side Request Forgery?</t>
  </si>
  <si>
    <t>¿Cómo se previene CSRF?</t>
  </si>
  <si>
    <t>La vulnerabilidad redirección no validada (open redirect):</t>
  </si>
  <si>
    <t>¿Cuál es un ejemplo de payload de CSRF?</t>
  </si>
  <si>
    <t>¿Cómo envía el método Basic las credenciales al servidor de aplicaciones?</t>
  </si>
  <si>
    <t>¿Qué ataques puede sufrir Basic?</t>
  </si>
  <si>
    <t>¿Cómo envía Digest las credenciales al servidor de aplicaciones?</t>
  </si>
  <si>
    <t>¿Cómo envía NTLM las credenciales al servidor de aplicaciones?</t>
  </si>
  <si>
    <t>¿Qué ataque es típico contra Kerberos?</t>
  </si>
  <si>
    <t>NTLM calcula 2 parámetros que son:</t>
  </si>
  <si>
    <t>OAUTH2 usa:</t>
  </si>
  <si>
    <t>¿De qué tipo son el token y el código de autorización en OAUTH2?</t>
  </si>
  <si>
    <t>¿Dónde se aloja la información del usuario en un JWT?</t>
  </si>
  <si>
    <t>TLS usa algoritmos como:</t>
  </si>
  <si>
    <t>La autenticación basada en formularios hace uso de:</t>
  </si>
  <si>
    <t>¿Qué se recomienda para TLS?</t>
  </si>
  <si>
    <t>¿Qué tipo de ataques puede sufrir la autenticación para suplantar un usuario?</t>
  </si>
  <si>
    <t>¿De qué tipo de ataque previene la implementación de CAPTCHA?</t>
  </si>
  <si>
    <t>¿Qué medidas se recomiendan para implementar para tener una autenticación más robusta?</t>
  </si>
  <si>
    <t>¿Cuándo se debe crear el ID de sesión?</t>
  </si>
  <si>
    <t>¿Dónde puede ubicarse el ID de sesión?</t>
  </si>
  <si>
    <t>¿Con qué método de autenticación se crea el ID de sesión?</t>
  </si>
  <si>
    <t>¿Cómo se denomina la base de datos del mecanismo de autorización?</t>
  </si>
  <si>
    <t>¿Con qué tipo de usuario se ejecuta un proceso relativo a un sitio web o plugin del navegador?</t>
  </si>
  <si>
    <t>¿Qué se comprueba en la lista de control de acceso para permitir el acceso a un recurso a un usuario?</t>
  </si>
  <si>
    <t>¿Cuál es un ataque a la autorización?</t>
  </si>
  <si>
    <t>¿Cuál de los siguientes es un mecanismo de defensa para una buena autorización?</t>
  </si>
  <si>
    <t>¿A qué se debe el TOCTOU?</t>
  </si>
  <si>
    <t>¿Qué no hay que usar para identificar usuarios?</t>
  </si>
  <si>
    <t>Señala la afirmación incorrecta sobre buenas prácticas de programación:</t>
  </si>
  <si>
    <t>Señalar la afirmación incorrecta sobre buenas prácticas de programación:</t>
  </si>
  <si>
    <t>La mejor forma de evitar SQL injection es:</t>
  </si>
  <si>
    <t>¿Cuáles son formas de prevención de XSS en el código?</t>
  </si>
  <si>
    <t>¿Cuáles son formas de prevención de HTTP response splitting en el código?</t>
  </si>
  <si>
    <t>¿Cómo se pueden evitar vulnerabilidades XXE?</t>
  </si>
  <si>
    <t>¿Qué se recomienda a la hora de generar números aleatorios?</t>
  </si>
  <si>
    <t>¿Cómo se denomina en Java la función segura de generación de números aleatorios?</t>
  </si>
  <si>
    <t>Señalar la afirmación incorrecta:</t>
  </si>
  <si>
    <t>¿Cómo no se debe acceder (mediante autenticación) a una base de datos desde el código?</t>
  </si>
  <si>
    <t>¿Qué función hay que usar en lugar de eval()?</t>
  </si>
  <si>
    <t>Señalar la afirmación correcta para evitar Open Redirect:</t>
  </si>
  <si>
    <t>Señalar la afirmación correcta para evitar CSRF:</t>
  </si>
  <si>
    <t>¿A qué corresponde la siguiente línea de código?: req.getParameter("_csrf_token").equals(req.getSession().getAttribute("_csrf_token").</t>
  </si>
  <si>
    <t>¿En qué fase del SSDLC se debe usar una herramienta SAST?</t>
  </si>
  <si>
    <t>¿En qué fase del SSDLC se debe usar una herramienta DAST?</t>
  </si>
  <si>
    <t>¿En qué fase del SSDLC se debe usar una herramienta IAST?</t>
  </si>
  <si>
    <t>¿Qué tipo de análisis puede realizar una herramienta SAST para comprobar las interacciones entre distintas funciones?</t>
  </si>
  <si>
    <t>En cuanto a herramientas de análisis de la seguridad SAST, señalar la afirmación falsa:</t>
  </si>
  <si>
    <t>¿Qué se puede hacer con los falsos positivos posibles en el resultado de análisis de una herramienta SAST?</t>
  </si>
  <si>
    <t>Señalar la afirmación falsa:</t>
  </si>
  <si>
    <t>Las herramientas de tipo IAST pueden instrumentar:</t>
  </si>
  <si>
    <t>¿Qué tipo de análisis realiza una herramienta de tipo DAST?</t>
  </si>
  <si>
    <t>Un WAF detecta y bloquea ataques web usando:</t>
  </si>
  <si>
    <t>¿Qué tipo de instalación de un WAF solo detecta y no bloquea un ataque?</t>
  </si>
  <si>
    <t>¿Qué tipo de instalación es la más recomendable para un WAF?</t>
  </si>
  <si>
    <t>¿Qué valor se recomienda para la cabecera X-FRAME-OPTIONS?</t>
  </si>
  <si>
    <t>¿Qué valor se recomienda para la cabecera CONTENT-SECURITY-POLICY?</t>
  </si>
  <si>
    <t>¿Qué valor se recomienda para el parámetro SAMESITE de la cabecera SET-COOKIE?</t>
  </si>
  <si>
    <t>La vulnerabilidad XSS DOM se puede evitar mediante:</t>
  </si>
  <si>
    <t>El ataque Javascript hijacking es similar en tecnología AJAX a:</t>
  </si>
  <si>
    <t>¿Cómo se puede saltar/evitar la política del mismo origen?</t>
  </si>
  <si>
    <t>A.- DDOS.</t>
  </si>
  <si>
    <t>A.- Phishing.</t>
  </si>
  <si>
    <t>A.- Actores internos.</t>
  </si>
  <si>
    <t>A.- Validación de entrada.</t>
  </si>
  <si>
    <t>A.- Para garantizar la trazabilidad.</t>
  </si>
  <si>
    <t>A.- Autenticar.</t>
  </si>
  <si>
    <t>A.- 
Política de seguridad.</t>
  </si>
  <si>
    <t>A.- Procedimientos.</t>
  </si>
  <si>
    <t>A.- Medidas de seguridad.</t>
  </si>
  <si>
    <t>A.- Define el comportamiento apropiado para cada caso.</t>
  </si>
  <si>
    <t>A.- 
Monitorización.</t>
  </si>
  <si>
    <t>A.- Monitorización.</t>
  </si>
  <si>
    <t>A.- Procedimientos de seguridad.</t>
  </si>
  <si>
    <t>A.- 
Procedimientos de seguridad.</t>
  </si>
  <si>
    <t>A.- 
Establece o planifica la seguridad de la información.</t>
  </si>
  <si>
    <t>A.- Planificación.</t>
  </si>
  <si>
    <t>A.- ACT: Mejora.</t>
  </si>
  <si>
    <t>A.- La creación de un cuerpo organizado de conocimientos.</t>
  </si>
  <si>
    <t>A.- 
La seguridad desde el contexto defensivo.</t>
  </si>
  <si>
    <t>A.- El decálogo OWASP.</t>
  </si>
  <si>
    <t>A.- SANS.</t>
  </si>
  <si>
    <t>A.- 
Information Systems Security Architecture Professional (CISSP-ISSAP).</t>
  </si>
  <si>
    <t>A.- Definir la arquitectura de seguridad.</t>
  </si>
  <si>
    <t>A.- No establece explícitamente la identificación de vulnerabilidades como uno de los pasos de la metodología.</t>
  </si>
  <si>
    <t>A.- 
No establece explícitamente la identificación de vulnerabilidades como uno de los pasos de la metodología.</t>
  </si>
  <si>
    <t>A.- ISO 27001.</t>
  </si>
  <si>
    <t>A.- Director del proyecto.</t>
  </si>
  <si>
    <t>A.- 
Plan de entrevistas que realizar.</t>
  </si>
  <si>
    <t>A.- Valor por riesgo acumulado.</t>
  </si>
  <si>
    <t>A.- Vulnerabilidad.</t>
  </si>
  <si>
    <t>A.- Según el coste económico.</t>
  </si>
  <si>
    <t>A.- 
Evitarlo.</t>
  </si>
  <si>
    <t>A.- La organización.</t>
  </si>
  <si>
    <t>A.- Su objetivo genérico.</t>
  </si>
  <si>
    <t>A.- Se identifican y valoran todos los activos implicados.</t>
  </si>
  <si>
    <t>A.- 10 % del valor del sistema a proteger.</t>
  </si>
  <si>
    <t>A.- ISO 27002:2013.</t>
  </si>
  <si>
    <t>A.- Diseño.</t>
  </si>
  <si>
    <t>A.- El modelado de amenazas o casos de abuso.</t>
  </si>
  <si>
    <t>A.- Derivación de requisitos de seguridad.</t>
  </si>
  <si>
    <t>A.- 
Clásica.</t>
  </si>
  <si>
    <t>A.- Nativas.</t>
  </si>
  <si>
    <t>A.- Navegador.</t>
  </si>
  <si>
    <t>A.- Request().</t>
  </si>
  <si>
    <t>A.- JavaScript.</t>
  </si>
  <si>
    <t>A.- 
Navegador.</t>
  </si>
  <si>
    <t>A.- PUT.</t>
  </si>
  <si>
    <t>A.- 
GET.</t>
  </si>
  <si>
    <t>A.- Test de penetración.</t>
  </si>
  <si>
    <t>A.- Enlaces de correos electrónicos.</t>
  </si>
  <si>
    <t>A.- &lt;script&gt;alert("hacked")&lt;/script&gt;.</t>
  </si>
  <si>
    <t>A.- 
Permite acceder a recursos del sistema de ficheros no permitidos.</t>
  </si>
  <si>
    <t>A.- La aplicación web suministra un ID de sesión previo a la autenticación correcta de un usuario.</t>
  </si>
  <si>
    <t>A.- Manipulación de parámetros a través de un formulario.</t>
  </si>
  <si>
    <t>A.- Consultas parametrizadas.</t>
  </si>
  <si>
    <t>A.- Permite incluir ficheros remotos de otro servidor no permitidos.</t>
  </si>
  <si>
    <t>A.- Cifrados.</t>
  </si>
  <si>
    <t>A.- Repetición.</t>
  </si>
  <si>
    <t>A.- Golden Ticket.</t>
  </si>
  <si>
    <t>A.- LMV2 y NTV2.</t>
  </si>
  <si>
    <t>A.- Token de acceso.</t>
  </si>
  <si>
    <t>A.- DIGEST.</t>
  </si>
  <si>
    <t>A.- HEADER.</t>
  </si>
  <si>
    <t>A.- RSA.</t>
  </si>
  <si>
    <t>A.- Método HTTP POST.</t>
  </si>
  <si>
    <t>A.- Además de comprobar el certificado del servidor, requerir la comprobación de un certificado personal al cliente.</t>
  </si>
  <si>
    <t>A.- 
Fuerza bruta.</t>
  </si>
  <si>
    <t>A.- Fuerza bruta.</t>
  </si>
  <si>
    <t>A.- 
Comprobar ruta de certificación en TLS: certificate pinning.</t>
  </si>
  <si>
    <t>A.- Antes de la autenticación.</t>
  </si>
  <si>
    <t>A.- Cabecera SET-COOKIE.</t>
  </si>
  <si>
    <t>A.- NTLM.</t>
  </si>
  <si>
    <t>A.- Lista de control de acceso.</t>
  </si>
  <si>
    <t>A.- Con un usuario cualquiera del sistema operativo.</t>
  </si>
  <si>
    <t>A.- 
Si el usuario posee el rol necesario que requiere el recurso para ser accedido.</t>
  </si>
  <si>
    <t>A.- TOCTOU.</t>
  </si>
  <si>
    <t>A.- 
Política robusta de contraseñas.</t>
  </si>
  <si>
    <t>A.- A no diseñar operaciones atómicas.</t>
  </si>
  <si>
    <t>A.- 
Direcciones de correo electrónico.</t>
  </si>
  <si>
    <t>A.- Rehusar código que ha sido testeado y probado.</t>
  </si>
  <si>
    <t>A.- 
No usar en el código nombres relativos de ficheros.</t>
  </si>
  <si>
    <t>A.- 
Utilizando blacklist antes que whitelist.</t>
  </si>
  <si>
    <t>A.- Validación de entrada para evitar los caracteres CR LF.</t>
  </si>
  <si>
    <t>A.- Validando los datos de entrada en el código fuente.</t>
  </si>
  <si>
    <t>A.- 
Usar algoritmos de tipo estadístico.</t>
  </si>
  <si>
    <t>A.- SecRamdom().</t>
  </si>
  <si>
    <t>A.- No existe inconveniente, desde el punto de vista de la seguridad, en llamar librerías de terceros desde nuestro código, ya que se estima que son seguras.</t>
  </si>
  <si>
    <t>A.- Solicitando user/password al usuario desde la consola y verificar contra la almacenada en una BB.DD.</t>
  </si>
  <si>
    <t>A.- 
innerhtml().</t>
  </si>
  <si>
    <t>A.- Se debe usar sentencias parametrizadas.</t>
  </si>
  <si>
    <t>A.- 
Se debe usar un token anti CSRF.</t>
  </si>
  <si>
    <t>A.- Al uso de sentencias parametrizadas de SQL.</t>
  </si>
  <si>
    <t>A.- 
Diseño.</t>
  </si>
  <si>
    <t>A.- Intraprocedural.</t>
  </si>
  <si>
    <t>A.- Cubren todo el código de la aplicación excepto las dependencias de terceros.</t>
  </si>
  <si>
    <t>A.- Auditar las vulnerabilidades del informe.</t>
  </si>
  <si>
    <t>A.- 
Las herramientas de análisis de tipo IAST no suelen tener falsos positivos.</t>
  </si>
  <si>
    <t>A.- 
El código fuente.</t>
  </si>
  <si>
    <t>A.- Semántico.</t>
  </si>
  <si>
    <t>A.- Expresiones regulares.</t>
  </si>
  <si>
    <t>A.- Bridge.</t>
  </si>
  <si>
    <t>A.- STRICT.</t>
  </si>
  <si>
    <t>A.- default-src 'self'.</t>
  </si>
  <si>
    <t>A.- 
STRICT.</t>
  </si>
  <si>
    <t>A.- Codificación de la salida.</t>
  </si>
  <si>
    <t>A.- XSS-DOM.</t>
  </si>
  <si>
    <t>A.- &lt;script&gt;…&lt;/script&gt;.</t>
  </si>
  <si>
    <t>B.- Doxxing.</t>
  </si>
  <si>
    <t>B.- DDOS.</t>
  </si>
  <si>
    <t>B.- Actores estado.</t>
  </si>
  <si>
    <t>B.- Firma digital avanzada.</t>
  </si>
  <si>
    <t>B.- Para garantizar la confidencialidad.</t>
  </si>
  <si>
    <t>B.- Demostrar la identidad.</t>
  </si>
  <si>
    <t>B.- 
Directrices.</t>
  </si>
  <si>
    <t>B.- Directrices.</t>
  </si>
  <si>
    <t>B.- 
Líneas base.</t>
  </si>
  <si>
    <t>B.- Establece qué herramientas y qué procedimientos son necesarios.</t>
  </si>
  <si>
    <t>B.- Análisis de vulnerabilidades.</t>
  </si>
  <si>
    <t>B.- Estándar.</t>
  </si>
  <si>
    <t>B.- Opera y mantiene los procesos establecidos para la seguridad de la información.</t>
  </si>
  <si>
    <t>B.- Elaborar procedimientos.</t>
  </si>
  <si>
    <t>B.- PLAN: análisis de riesgos.</t>
  </si>
  <si>
    <t>B.- El reconocimiento por parte de los clientes de la autoridad de la profesión.</t>
  </si>
  <si>
    <t>B.- La seguridad desde el contexto del atacante.</t>
  </si>
  <si>
    <t>B.- No existen recopilaciones de requisitos adecuadas actualmente.</t>
  </si>
  <si>
    <t>B.- 
ISACA.</t>
  </si>
  <si>
    <t>B.- 
Information Systems Security Architecture Professional (CISSP-ISSEP).</t>
  </si>
  <si>
    <t>B.- 
Desarrollar software seguro.</t>
  </si>
  <si>
    <t>B.- La flexibilidad.</t>
  </si>
  <si>
    <t>B.- Facilidad a la hora de traducir una estimación cualitativa a una cuantía económica.</t>
  </si>
  <si>
    <t>B.- ISO 27002.</t>
  </si>
  <si>
    <t>B.- Gestión de riesgos.</t>
  </si>
  <si>
    <t>B.- Enlace de seguimiento.</t>
  </si>
  <si>
    <t>B.- Participantes que entrevistar.</t>
  </si>
  <si>
    <t>B.- Degradación del valor del activo.</t>
  </si>
  <si>
    <t>B.- Activo.</t>
  </si>
  <si>
    <t>B.- De forma cualitativa.</t>
  </si>
  <si>
    <t>B.- Reducirlo, mitigarlo. Se limita el impacto.</t>
  </si>
  <si>
    <t>B.- Cada fase del proyecto.</t>
  </si>
  <si>
    <t>B.- Las salvaguardas concretas que implantar o mejorar, detallando sus objetivos de calidad, eficacia y eficiencia.</t>
  </si>
  <si>
    <t>B.- 
Se identifican y valoran las amenazas del sistema.</t>
  </si>
  <si>
    <t>B.- Los beneficios.</t>
  </si>
  <si>
    <t>B.- GDPR.</t>
  </si>
  <si>
    <t>B.- 
Desarrollo.</t>
  </si>
  <si>
    <t>B.- 
Del análisis de riesgos.</t>
  </si>
  <si>
    <t>B.- Modelado de amenazas.</t>
  </si>
  <si>
    <t>B.- RIA.</t>
  </si>
  <si>
    <t>B.- Basadas en navegador.</t>
  </si>
  <si>
    <t>B.- Persistencia.</t>
  </si>
  <si>
    <t>B.- HttpRequest()</t>
  </si>
  <si>
    <t>B.- XML.</t>
  </si>
  <si>
    <t>B.- GET.</t>
  </si>
  <si>
    <t>B.- HEAD.</t>
  </si>
  <si>
    <t>B.- POST.</t>
  </si>
  <si>
    <t>B.- Codificación de la salida.</t>
  </si>
  <si>
    <t>B.- 
Campos de formularios.</t>
  </si>
  <si>
    <t>B.- ‘ OR 1=1#.</t>
  </si>
  <si>
    <t>B.- Permite autenticarse suplantando a un usuario.</t>
  </si>
  <si>
    <t>B.- Campo de un formulario.</t>
  </si>
  <si>
    <t>B.- ‘ OR 1=1#</t>
  </si>
  <si>
    <t>B.- Suplantar a un usuario no es posible a menos que se capture el ID de sesión.</t>
  </si>
  <si>
    <t>B.- Ejecutando un enlace contenido en un correo recibido.</t>
  </si>
  <si>
    <t>B.- Validación de entrada.</t>
  </si>
  <si>
    <t>B.- En claro.</t>
  </si>
  <si>
    <t>B.- 
XSS.</t>
  </si>
  <si>
    <t>B.- HMAC-MD5.</t>
  </si>
  <si>
    <t>B.- Silver Ticket.</t>
  </si>
  <si>
    <t>B.- LMV2 y TNV2.</t>
  </si>
  <si>
    <t>B.- Código de autorización.</t>
  </si>
  <si>
    <t>B.- BASIC.</t>
  </si>
  <si>
    <t>B.- PAYLOAD.</t>
  </si>
  <si>
    <t>B.- AES.</t>
  </si>
  <si>
    <t>B.- ID de sesión.</t>
  </si>
  <si>
    <t>B.- Usar AES 256.</t>
  </si>
  <si>
    <t>B.- LFI.</t>
  </si>
  <si>
    <t>B.- Combinar distintos métodos de autenticación (algo que se sabe, se tiene o se es).</t>
  </si>
  <si>
    <t>B.- 
Después de la autenticación correcta.</t>
  </si>
  <si>
    <t>B.- Parámetro URL.</t>
  </si>
  <si>
    <t>B.- 
BASIC.</t>
  </si>
  <si>
    <t>B.- Base de datos.</t>
  </si>
  <si>
    <t>B.- Con el usuario del navegador.</t>
  </si>
  <si>
    <t>B.- Si es administrador.</t>
  </si>
  <si>
    <t>B.- 
Separación de roles y tareas.</t>
  </si>
  <si>
    <t>B.- A no bloquear el acceso a los recursos debidamente.</t>
  </si>
  <si>
    <t>B.- Nombres de usuario usando abreviaturas del nombre y apellidos</t>
  </si>
  <si>
    <t>B.- Usar listas negras en lugar de blancas de comprobación.</t>
  </si>
  <si>
    <t>B.- No invocar programas en los que no se confía desde programas en los que se confía.</t>
  </si>
  <si>
    <t>B.- Validando en el lado del cliente.</t>
  </si>
  <si>
    <t>B.- 
Codificación de la salida.</t>
  </si>
  <si>
    <t>B.- Validando los datos de entrada a través del XSD.</t>
  </si>
  <si>
    <t>B.- Usar algoritmos de tipo criptográfico.</t>
  </si>
  <si>
    <t>B.- SecureRamdom().</t>
  </si>
  <si>
    <t>B.- El código de terceros y el propio pueden contener vulnerabilidades públicas CVE.</t>
  </si>
  <si>
    <t>B.- 
Codificando user/password en el código fuente.</t>
  </si>
  <si>
    <t>B.- innertext().</t>
  </si>
  <si>
    <t>B.- Se debe codificar la salida.</t>
  </si>
  <si>
    <t>B.- Al uso de un identificador de sesión.</t>
  </si>
  <si>
    <t>B.- Desarrollo.</t>
  </si>
  <si>
    <t>B.- 
Interprocedural.</t>
  </si>
  <si>
    <t>B.- Tienen falsos negativos y falsos positivos.</t>
  </si>
  <si>
    <t>B.- No es necesario hacer nada puesto que realmente no son vulnerabilidades.</t>
  </si>
  <si>
    <t>B.- Las herramientas RASP se pueden utilizar como firewalls de aplicaciones web de tipo software.</t>
  </si>
  <si>
    <t>B.- Las peticiones y respuestas.</t>
  </si>
  <si>
    <t>B.- Sintáctico.</t>
  </si>
  <si>
    <t>B.- Análisis semántico.</t>
  </si>
  <si>
    <t>B.- 
Proxy reverso.</t>
  </si>
  <si>
    <t>B.- Proxy reverso.</t>
  </si>
  <si>
    <t>B.- HTTPONLY.</t>
  </si>
  <si>
    <t>B.- same origin.</t>
  </si>
  <si>
    <t>B.- 
HTTPONLY.</t>
  </si>
  <si>
    <t>B.- CSRF.</t>
  </si>
  <si>
    <t>B.- &lt;iframe&gt;…&lt;/iframe&gt;.</t>
  </si>
  <si>
    <t>C.- Hacktivismo.</t>
  </si>
  <si>
    <t>C.- Troyano</t>
  </si>
  <si>
    <t>C.- Hacktivistas.</t>
  </si>
  <si>
    <t>C.- Autenticación.</t>
  </si>
  <si>
    <t>C.- Para garantizar la integridad.</t>
  </si>
  <si>
    <t>C.- Garantizar la integridad.</t>
  </si>
  <si>
    <t>C.- 
Líneas base.</t>
  </si>
  <si>
    <t>C.- Líneas base.</t>
  </si>
  <si>
    <t>C.- Políticas.</t>
  </si>
  <si>
    <t>C.- Sirve para comunicar un consenso del uso de datos y aplicaciones dentro de la organización.</t>
  </si>
  <si>
    <t>C.- Implementación.</t>
  </si>
  <si>
    <t>C.- 
Implementación.</t>
  </si>
  <si>
    <t>C.- Guía de seguridad.</t>
  </si>
  <si>
    <t>C.- 
Guía de seguridad.</t>
  </si>
  <si>
    <t>C.- Mide los resultados (monitorización) e indicadores de los distintos procesos de la seguridad de la información.</t>
  </si>
  <si>
    <t>C.- Análisis y gestión de riesgos.</t>
  </si>
  <si>
    <t>C.- PLAN: tratamiento de los riesgos.</t>
  </si>
  <si>
    <t>C.- 
La aprobación de la comunidad de la autoridad de la profesión.</t>
  </si>
  <si>
    <t>C.- La seguridad tanto desde el contexto del atacante como desde el contexto de defensa.</t>
  </si>
  <si>
    <t>C.- El cuerpo de conocimiento (body of knowledge, BOK) del Consorcio Internacional de Certificación de Seguridad de Sistemas de Información o (ISC)2.</t>
  </si>
  <si>
    <t>C.- 
Certification and Accreditation Professional.</t>
  </si>
  <si>
    <t>C.- Information Systems Security Architecture Professional (CISSP-ISMP).</t>
  </si>
  <si>
    <t>C.- Realizar auditorías de seguridad exclusivamente.</t>
  </si>
  <si>
    <t>C.- 
Implica un elevado nivel de conocimientos tecnológicos y técnicos.</t>
  </si>
  <si>
    <t>C.- 
ISO 27005.</t>
  </si>
  <si>
    <t>C.- Análisis de riesgos.</t>
  </si>
  <si>
    <t>C.- Interlocutor.</t>
  </si>
  <si>
    <t>C.- 
Calendario.</t>
  </si>
  <si>
    <t>C.- Riesgo acumulado por frecuencia.</t>
  </si>
  <si>
    <t>C.- Amenaza.</t>
  </si>
  <si>
    <t>C.- En base a su eficacia medida en cómo la salvaguarda está implantada.</t>
  </si>
  <si>
    <t>C.- 
Transferirlo a otra organización.</t>
  </si>
  <si>
    <t>C.- Cada escenario de impacto para dar respuesta.</t>
  </si>
  <si>
    <t>C.- 
La relación de escenarios de impacto o riesgos que afronta: activos afectados, tipos de activos, amenazas afrontadas, valoración de activos y amenazas y niveles de impacto y riesgo.</t>
  </si>
  <si>
    <t>C.- Se identifica y se valora la efectividad de las salvaguardas.</t>
  </si>
  <si>
    <t>C.- La estimación de las pérdidas.</t>
  </si>
  <si>
    <t>C.- 
ENS.</t>
  </si>
  <si>
    <t>C.- Pruebas.</t>
  </si>
  <si>
    <t>C.- Análisis de seguridad del código fuente.</t>
  </si>
  <si>
    <t>C.- SOA.</t>
  </si>
  <si>
    <t>C.- Híbridas.</t>
  </si>
  <si>
    <t>C.- Servidor de aplicaciones.</t>
  </si>
  <si>
    <t>C.- xmlRequest().</t>
  </si>
  <si>
    <t>C.- HTML.</t>
  </si>
  <si>
    <t>C.- POST.</t>
  </si>
  <si>
    <t>C.- PUT.</t>
  </si>
  <si>
    <t>C.- Validación de entrada mediante consultas parametrizadas.</t>
  </si>
  <si>
    <t>C.- Cualquier ejecución de un enlace debidamente parametrizado desde cualquier ubicación.</t>
  </si>
  <si>
    <t>C.- C.../../template.ini.</t>
  </si>
  <si>
    <t>C.- Permite robo de credenciales.</t>
  </si>
  <si>
    <t>C.- Todas las opciones son correctas.</t>
  </si>
  <si>
    <t>C.- C.../../template.ini</t>
  </si>
  <si>
    <t>C.- La aplicación web suministra un ID de sesión después de una autenticación correcta de un usuario.</t>
  </si>
  <si>
    <t>C.- Ejecutando un enlace navegando por Internet.</t>
  </si>
  <si>
    <t>C.- Codificación de la salida.</t>
  </si>
  <si>
    <t>C.- Permite el robo de credenciales.</t>
  </si>
  <si>
    <t>C.- Codificadas Base64.</t>
  </si>
  <si>
    <t>C.- 
CSRF.</t>
  </si>
  <si>
    <t>C.- 
Codificadas en Base64.</t>
  </si>
  <si>
    <t>C.- Codificadas en Base64.</t>
  </si>
  <si>
    <t>C.- Kerberoasting.</t>
  </si>
  <si>
    <t>C.- Solo calcula y envía NTV2.</t>
  </si>
  <si>
    <t>C.- La A y la B.</t>
  </si>
  <si>
    <t>C.- JWT.</t>
  </si>
  <si>
    <t>C.- SIGNTURE.</t>
  </si>
  <si>
    <t>C.- SHA-512</t>
  </si>
  <si>
    <t>C.- Usuario y contraseña.</t>
  </si>
  <si>
    <t>C.- Usar RSA 2048.</t>
  </si>
  <si>
    <t>C.- SSRF.</t>
  </si>
  <si>
    <t>C.- 
SQLI.</t>
  </si>
  <si>
    <t>C.- 
TLS de cliente requerido para combinar con todos los demás métodos.</t>
  </si>
  <si>
    <t>C.- En cualquier momento.</t>
  </si>
  <si>
    <t>C.- Parámetro POST.</t>
  </si>
  <si>
    <t>C.- Basado en formularios.</t>
  </si>
  <si>
    <t>C.- Roles.</t>
  </si>
  <si>
    <t>C.- Con un token restringido.</t>
  </si>
  <si>
    <t>C.- Si es administrador no se realizan comprobaciones en la lista de control de acceso.</t>
  </si>
  <si>
    <t>C.- LFI.</t>
  </si>
  <si>
    <t>C.- 
Administración robusta de permisos.</t>
  </si>
  <si>
    <t>C.- A no tener un identificador de sesión largo.</t>
  </si>
  <si>
    <t>C.- Opciones A y D.</t>
  </si>
  <si>
    <t>C.- Revisar el proceso de mantenimiento.</t>
  </si>
  <si>
    <t>C.- Asumir que los usuarios no son maliciosos.</t>
  </si>
  <si>
    <t>C.- Mediante sentencias preparadas de SQL.</t>
  </si>
  <si>
    <t>C.- Cabecera XSS-protection y Content Security Policy.</t>
  </si>
  <si>
    <t>C.- Validación de lista negra.</t>
  </si>
  <si>
    <t>C.- No admitiendo definiciones DTD.</t>
  </si>
  <si>
    <t>C.- Cualquier número lo suficientemente largo &gt; de 14 caracteres es válido.</t>
  </si>
  <si>
    <t>C.- Ramdom().</t>
  </si>
  <si>
    <t>C.- Es necesario comprobar las dependencias de software de terceros para verificar las posibles CVE.</t>
  </si>
  <si>
    <t>C.- Solicitando user/password al usuario desde la consola y verificar contra la almacenada en un fichero protegido.</t>
  </si>
  <si>
    <t>C.- 
json.parse().</t>
  </si>
  <si>
    <t>C.- Se debe usar una validación de lista blanca.</t>
  </si>
  <si>
    <t>C.- 
Se debe usar una validación de lista blanca.</t>
  </si>
  <si>
    <t>C.- A la comprobación de un token anti SSRF.</t>
  </si>
  <si>
    <t>C.- 
Producción.</t>
  </si>
  <si>
    <t>C.- Semántico.</t>
  </si>
  <si>
    <t>C.- Algunas pueden analizar código ejecutable.</t>
  </si>
  <si>
    <t>C.- Este tipo de herramientas no tienen falsos positivos.</t>
  </si>
  <si>
    <t>C.- Las herramientas de tipo IAST normalmente no tienen impacto en el rendimiento.</t>
  </si>
  <si>
    <t>C.- 
El código ejecutable.</t>
  </si>
  <si>
    <t>C.- Interprocedural</t>
  </si>
  <si>
    <t>C.- No bloquea ataques.</t>
  </si>
  <si>
    <t>C.- Pasivo.</t>
  </si>
  <si>
    <t>C.- 
Pasivo.</t>
  </si>
  <si>
    <t>C.- LAX.</t>
  </si>
  <si>
    <t>C.- strict.</t>
  </si>
  <si>
    <t>C.- Cabecera XSS-PROTECTION.</t>
  </si>
  <si>
    <t>C.- SQLI.</t>
  </si>
  <si>
    <t>C.- &lt;img&gt;…&lt;/img&gt;.</t>
  </si>
  <si>
    <t>D.- Hacktivismo.</t>
  </si>
  <si>
    <t>D.- Para garantizar la disponibilidad.</t>
  </si>
  <si>
    <t>D.- 
No repudio.</t>
  </si>
  <si>
    <t>D.- Las opciones A y C.</t>
  </si>
  <si>
    <t>D.- Todas las anteriores son correctas.</t>
  </si>
  <si>
    <t>D.- Monitorización y análisis de vulnerabilidades.</t>
  </si>
  <si>
    <t>D.- 
Ninguna de las anteriores.</t>
  </si>
  <si>
    <t>D.- Ninguna de las anteriores</t>
  </si>
  <si>
    <t>D.- 
Todas las anteriores son correctas.</t>
  </si>
  <si>
    <t>D.- Todas las anteriores son ciertas.</t>
  </si>
  <si>
    <t>D.- Todas las anteriores son correctas</t>
  </si>
  <si>
    <t>D.- 
International Information Systems Security Certification Consortium.</t>
  </si>
  <si>
    <t>D.- 
Todas las anteriores son correctas</t>
  </si>
  <si>
    <t>D.- 
A y B son correctas.</t>
  </si>
  <si>
    <t>D.- Las opciones A y B son correctas.</t>
  </si>
  <si>
    <t>D.- Promotor.</t>
  </si>
  <si>
    <t>D.- 
Ataque.</t>
  </si>
  <si>
    <t>D.- Asumirlo. Pasa a contabilizarse como gasto operacional.</t>
  </si>
  <si>
    <t>D.- Cada servicio.</t>
  </si>
  <si>
    <t>D.- 
Producción.</t>
  </si>
  <si>
    <t>D.- Las opciones A y B.</t>
  </si>
  <si>
    <t>D.- Todas las opciones anteriores son correctas.</t>
  </si>
  <si>
    <t>D.- Clásicas.</t>
  </si>
  <si>
    <t>D.- SGBD.</t>
  </si>
  <si>
    <t>D.- xmlHttpRequest().</t>
  </si>
  <si>
    <t>D.- CONNECT.</t>
  </si>
  <si>
    <t>D.- GET.</t>
  </si>
  <si>
    <t>D.- Todas las anteriores.</t>
  </si>
  <si>
    <t>D.- B y C son correctas.</t>
  </si>
  <si>
    <t>D.- Las opciones A y C son correctas.</t>
  </si>
  <si>
    <t>D.- Cualquier ejecución de un enlace debidamente parametrizado desde cualquier ubicación.</t>
  </si>
  <si>
    <t>D.- http://localhost/index.php?page = http://google.com/.</t>
  </si>
  <si>
    <t>D.- Token anti-CSRF.</t>
  </si>
  <si>
    <t>D.- Permite redirigir al usuario víctima a un sitio web no esperado.</t>
  </si>
  <si>
    <t>D.- 
HASH MD5.</t>
  </si>
  <si>
    <t>D.- 
RFI.</t>
  </si>
  <si>
    <t>D.- HASH MD5.</t>
  </si>
  <si>
    <t>D.- Ticket.</t>
  </si>
  <si>
    <t>D.- HTTP.</t>
  </si>
  <si>
    <t>D.- Todos los anteriores son correctos.</t>
  </si>
  <si>
    <t>D.- XSS.</t>
  </si>
  <si>
    <t>D.- No es necesario.</t>
  </si>
  <si>
    <t>D.- 
DIGEST.</t>
  </si>
  <si>
    <t>D.- 
Recursos.</t>
  </si>
  <si>
    <t>D.- Todos los anteriores.</t>
  </si>
  <si>
    <t>D.- Direcciones IP, MAC.</t>
  </si>
  <si>
    <t>D.- Insistir en el proceso de revisión de código.</t>
  </si>
  <si>
    <t>D.- Utilizar librerías seguras que generan números aleatorios como random.</t>
  </si>
  <si>
    <t>D.- No se puede afirmar una seguridad del 100 % en un código.</t>
  </si>
  <si>
    <t>D.- 
Todas las anteriores son ciertas.</t>
  </si>
  <si>
    <t>D.- 
Las herramientas IAST pueden detectar únicamente, bloquear o sanear la petición.</t>
  </si>
  <si>
    <t>D.- Se debe usar una validación en el lado cliente.</t>
  </si>
  <si>
    <t>D.- A la comprobación de un token anti CSRF.</t>
  </si>
  <si>
    <t>D.- Pruebas.</t>
  </si>
  <si>
    <t>D.- 
Todas las anteriores son falsas.</t>
  </si>
  <si>
    <t>D.- 
Las herramientas IAST obtienen un informe del análisis de vulnerabilidades.</t>
  </si>
  <si>
    <t>D.- Intraprodedural.</t>
  </si>
  <si>
    <t>D.- DENY.</t>
  </si>
  <si>
    <t>D.- *.</t>
  </si>
  <si>
    <t>D.- 
DENY.</t>
  </si>
  <si>
    <t>A.- Política de seguridad.</t>
  </si>
  <si>
    <t>A.- Establece o planifica la seguridad de la información.</t>
  </si>
  <si>
    <t>A.- La seguridad desde el contexto defensivo.</t>
  </si>
  <si>
    <t>A.- Information Systems Security Architecture Professional (CISSP-ISSAP).</t>
  </si>
  <si>
    <t>A.- Plan de entrevistas que realizar.</t>
  </si>
  <si>
    <t>A.- Evitarlo.</t>
  </si>
  <si>
    <t>A.- Clásica.</t>
  </si>
  <si>
    <t>A.- GET.</t>
  </si>
  <si>
    <t>A.- Permite acceder a recursos del sistema de ficheros no permitidos.</t>
  </si>
  <si>
    <t>A.- Comprobar ruta de certificación en TLS: certificate pinning.</t>
  </si>
  <si>
    <t>A.- Si el usuario posee el rol necesario que requiere el recurso para ser accedido.</t>
  </si>
  <si>
    <t>A.- Política robusta de contraseñas.</t>
  </si>
  <si>
    <t>A.- Direcciones de correo electrónico.</t>
  </si>
  <si>
    <t>A.- No usar en el código nombres relativos de ficheros.</t>
  </si>
  <si>
    <t>A.- Utilizando blacklist antes que whitelist.</t>
  </si>
  <si>
    <t>A.- Usar algoritmos de tipo estadístico.</t>
  </si>
  <si>
    <t>A.- innerhtml().</t>
  </si>
  <si>
    <t>A.- Se debe usar un token anti CSRF.</t>
  </si>
  <si>
    <t>A.- Las herramientas de análisis de tipo IAST no suelen tener falsos positivos.</t>
  </si>
  <si>
    <t>A.- El código fuente.</t>
  </si>
  <si>
    <t>A.- default-src self.</t>
  </si>
  <si>
    <t>B.- Líneas base.</t>
  </si>
  <si>
    <t>B.- ISACA.</t>
  </si>
  <si>
    <t>B.- Information Systems Security Architecture Professional (CISSP-ISSEP).</t>
  </si>
  <si>
    <t>B.- Desarrollar software seguro.</t>
  </si>
  <si>
    <t>B.- Se identifican y valoran las amenazas del sistema.</t>
  </si>
  <si>
    <t>B.- Del análisis de riesgos.</t>
  </si>
  <si>
    <t>B.- Campos de formularios.</t>
  </si>
  <si>
    <t>B.- XSS.</t>
  </si>
  <si>
    <t>B.- Después de la autenticación correcta.</t>
  </si>
  <si>
    <t>B.- Separación de roles y tareas.</t>
  </si>
  <si>
    <t>B.- Codificando user/password en el código fuente.</t>
  </si>
  <si>
    <t>B.- Interprocedural.</t>
  </si>
  <si>
    <t>C.- La aprobación de la comunidad de la autoridad de la profesión.</t>
  </si>
  <si>
    <t>C.- Certification and Accreditation Professional.</t>
  </si>
  <si>
    <t>C.- Implica un elevado nivel de conocimientos tecnológicos y técnicos.</t>
  </si>
  <si>
    <t>C.- ISO 27005.</t>
  </si>
  <si>
    <t>C.- Calendario.</t>
  </si>
  <si>
    <t>C.- Transferirlo a otra organización.</t>
  </si>
  <si>
    <t>C.- La relación de escenarios de impacto o riesgos que afronta: activos afectados, tipos de activos, amenazas afrontadas, valoración de activos y amenazas y niveles de impacto y riesgo.</t>
  </si>
  <si>
    <t>C.- ENS.</t>
  </si>
  <si>
    <t>C.- CSRF.</t>
  </si>
  <si>
    <t>C.- TLS de cliente requerido para combinar con todos los demás métodos.</t>
  </si>
  <si>
    <t>C.- Administración robusta de permisos.</t>
  </si>
  <si>
    <t>C.- json.parse().</t>
  </si>
  <si>
    <t>C.- Producción.</t>
  </si>
  <si>
    <t>C.- El código ejecutable.</t>
  </si>
  <si>
    <t>D.- No repudio.</t>
  </si>
  <si>
    <t>D.- International Information Systems Security Certification Consortium.</t>
  </si>
  <si>
    <t>D.- A y B son correctas.</t>
  </si>
  <si>
    <t>D.- Ataque.</t>
  </si>
  <si>
    <t>D.- Producción.</t>
  </si>
  <si>
    <t>D.- RFI.</t>
  </si>
  <si>
    <t>D.- DIGEST.</t>
  </si>
  <si>
    <t>D.- Recursos.</t>
  </si>
  <si>
    <t>D.- Las herramientas IAST pueden detectar únicamente, bloquear o sanear la petición.</t>
  </si>
  <si>
    <t>D.- Todas las anteriores son falsas.</t>
  </si>
  <si>
    <t>D.- Las herramientas IAST obtienen un informe del análisis de vulnerabilidades.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</si>
</sst>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434343"/>
      <name val="Roboto"/>
    </font>
    <font>
      <sz val="11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</fills>
  <borders count="2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6F8F9"/>
      </left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FFFFFF"/>
      </left>
      <right style="medium">
        <color rgb="FFB7E1CD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B7E1CD"/>
      </right>
      <top style="medium">
        <color rgb="FFCCCCCC"/>
      </top>
      <bottom style="medium">
        <color rgb="FFF6F8F9"/>
      </bottom>
      <diagonal/>
    </border>
    <border>
      <left style="medium">
        <color rgb="FFB7E1CD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B7E1CD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B7E1CD"/>
      </top>
      <bottom style="medium">
        <color rgb="FFB7E1CD"/>
      </bottom>
      <diagonal/>
    </border>
    <border>
      <left style="medium">
        <color rgb="FFB7E1CD"/>
      </left>
      <right style="medium">
        <color rgb="FFB7E1CD"/>
      </right>
      <top style="medium">
        <color rgb="FFCCCCCC"/>
      </top>
      <bottom style="medium">
        <color rgb="FFB7E1CD"/>
      </bottom>
      <diagonal/>
    </border>
    <border>
      <left style="medium">
        <color rgb="FFFFFFFF"/>
      </left>
      <right style="medium">
        <color rgb="FFB7E1CD"/>
      </right>
      <top style="medium">
        <color rgb="FFCCCCCC"/>
      </top>
      <bottom style="medium">
        <color rgb="FFB7E1CD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B7E1CD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B7E1CD"/>
      </bottom>
      <diagonal/>
    </border>
    <border>
      <left style="medium">
        <color rgb="FFF6F8F9"/>
      </left>
      <right style="medium">
        <color rgb="FFB7E1CD"/>
      </right>
      <top style="medium">
        <color rgb="FFCCCCCC"/>
      </top>
      <bottom style="medium">
        <color rgb="FFB7E1CD"/>
      </bottom>
      <diagonal/>
    </border>
    <border>
      <left style="medium">
        <color rgb="FFF6F8F9"/>
      </left>
      <right style="medium">
        <color rgb="FFB7E1CD"/>
      </right>
      <top style="medium">
        <color rgb="FFF6F8F9"/>
      </top>
      <bottom style="medium">
        <color rgb="FFF6F8F9"/>
      </bottom>
      <diagonal/>
    </border>
    <border>
      <left style="medium">
        <color rgb="FFB7E1CD"/>
      </left>
      <right style="medium">
        <color rgb="FFFFFFFF"/>
      </right>
      <top style="medium">
        <color rgb="FFCCCCCC"/>
      </top>
      <bottom style="medium">
        <color rgb="FFB7E1CD"/>
      </bottom>
      <diagonal/>
    </border>
    <border>
      <left style="medium">
        <color rgb="FFB7E1CD"/>
      </left>
      <right style="medium">
        <color rgb="FFF6F8F9"/>
      </right>
      <top style="medium">
        <color rgb="FFCCCCCC"/>
      </top>
      <bottom style="medium">
        <color rgb="FFB7E1CD"/>
      </bottom>
      <diagonal/>
    </border>
    <border>
      <left style="medium">
        <color rgb="FFB7E1CD"/>
      </left>
      <right style="medium">
        <color rgb="FFB7E1CD"/>
      </right>
      <top style="medium">
        <color rgb="FFB7E1CD"/>
      </top>
      <bottom style="medium">
        <color rgb="FFB7E1CD"/>
      </bottom>
      <diagonal/>
    </border>
    <border>
      <left style="medium">
        <color rgb="FFB7E1CD"/>
      </left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F6F8F9"/>
      </left>
      <right style="medium">
        <color rgb="FF284E3F"/>
      </right>
      <top style="medium">
        <color rgb="FFF6F8F9"/>
      </top>
      <bottom style="medium">
        <color rgb="FFF6F8F9"/>
      </bottom>
      <diagonal/>
    </border>
    <border>
      <left style="medium">
        <color rgb="FFFFFFFF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284E3F"/>
      </right>
      <top style="medium">
        <color rgb="FFCCCCCC"/>
      </top>
      <bottom style="medium">
        <color rgb="FFF6F8F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 wrapText="1"/>
    </xf>
    <xf numFmtId="0" fontId="0" fillId="0" borderId="1" xfId="0" applyFont="1" applyFill="1" applyBorder="1"/>
    <xf numFmtId="0" fontId="0" fillId="0" borderId="0" xfId="0" applyFill="1"/>
    <xf numFmtId="0" fontId="0" fillId="0" borderId="0" xfId="0" applyFill="1" applyAlignment="1">
      <alignment vertical="center" wrapText="1"/>
    </xf>
    <xf numFmtId="0" fontId="0" fillId="0" borderId="2" xfId="0" applyFont="1" applyFill="1" applyBorder="1"/>
    <xf numFmtId="0" fontId="0" fillId="0" borderId="0" xfId="0" applyFont="1" applyFill="1" applyBorder="1"/>
    <xf numFmtId="0" fontId="0" fillId="0" borderId="3" xfId="0" applyFont="1" applyFill="1" applyBorder="1"/>
    <xf numFmtId="0" fontId="1" fillId="0" borderId="4" xfId="0" applyFont="1" applyFill="1" applyBorder="1"/>
    <xf numFmtId="0" fontId="1" fillId="2" borderId="5" xfId="0" applyFont="1" applyFill="1" applyBorder="1"/>
    <xf numFmtId="0" fontId="0" fillId="0" borderId="0" xfId="0" applyAlignment="1">
      <alignment horizontal="left" vertical="top" wrapText="1"/>
    </xf>
    <xf numFmtId="0" fontId="0" fillId="3" borderId="0" xfId="0" applyFill="1"/>
    <xf numFmtId="0" fontId="2" fillId="4" borderId="6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2" fillId="6" borderId="14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vertical="center" wrapText="1"/>
    </xf>
    <xf numFmtId="0" fontId="2" fillId="5" borderId="17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 wrapText="1"/>
    </xf>
    <xf numFmtId="0" fontId="2" fillId="6" borderId="22" xfId="0" applyFont="1" applyFill="1" applyBorder="1" applyAlignment="1">
      <alignment vertical="center" wrapText="1"/>
    </xf>
    <xf numFmtId="0" fontId="2" fillId="4" borderId="23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vertical="center" wrapText="1"/>
    </xf>
    <xf numFmtId="0" fontId="3" fillId="5" borderId="25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vertical="center" wrapText="1"/>
    </xf>
    <xf numFmtId="0" fontId="2" fillId="5" borderId="25" xfId="0" applyFont="1" applyFill="1" applyBorder="1" applyAlignment="1">
      <alignment vertical="center" wrapText="1"/>
    </xf>
    <xf numFmtId="0" fontId="0" fillId="0" borderId="0" xfId="0" applyFill="1" applyAlignmen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62"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67692C-4B57-4DAB-9BD4-F389B376CECF}" name="Tabla2" displayName="Tabla2" ref="B2:G4" totalsRowShown="0">
  <autoFilter ref="B2:G4" xr:uid="{2B67692C-4B57-4DAB-9BD4-F389B376CECF}"/>
  <tableColumns count="6">
    <tableColumn id="1" xr3:uid="{8D1B6264-9015-4D52-A53E-3194DA564CDE}" name="Field"/>
    <tableColumn id="2" xr3:uid="{2E922293-2ADD-4B39-AC11-C520EA7CC535}" name="Type"/>
    <tableColumn id="3" xr3:uid="{E2317725-97B6-47AF-A289-BA5C98D8BFCF}" name="Null"/>
    <tableColumn id="4" xr3:uid="{1C454B78-B77A-432A-B2D0-E14A3D74B8E2}" name="Key"/>
    <tableColumn id="5" xr3:uid="{56346EDC-F4E9-4F36-A752-B1ABAAEDDB23}" name="Default"/>
    <tableColumn id="6" xr3:uid="{360B3853-9866-44D1-BA7A-A0A9D1061C99}" name="Ext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ECFD1D-82BE-43EF-BA59-3BA8515814D9}" name="Tabla9" displayName="Tabla9" ref="B2:D11" totalsRowShown="0">
  <autoFilter ref="B2:D11" xr:uid="{DCECFD1D-82BE-43EF-BA59-3BA8515814D9}"/>
  <tableColumns count="3">
    <tableColumn id="1" xr3:uid="{E96EB961-DB78-4182-900B-FECFB9EAF146}" name="ID_MATERIA"/>
    <tableColumn id="2" xr3:uid="{6CF2C04C-9CDE-46AC-B64B-F257BFA53240}" name="NOMBRE_MATERIA"/>
    <tableColumn id="3" xr3:uid="{70ABF362-BE31-4433-A281-119E7E865888}" name="INSERT">
      <calculatedColumnFormula>"INSERT INTO MATERIA (ID_MATERIA,NOMBRE_MATERIA) VALUES ("&amp;Tabla9[[#This Row],[ID_MATERIA]]&amp;","&amp;Tabla9[[#This Row],[NOMBRE_MATERIA]]&amp;"');"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608A8B-8686-4709-A232-9233AA9623B2}" name="Tabla24" displayName="Tabla24" ref="B2:G4" totalsRowShown="0">
  <autoFilter ref="B2:G4" xr:uid="{C0608A8B-8686-4709-A232-9233AA9623B2}"/>
  <tableColumns count="6">
    <tableColumn id="1" xr3:uid="{A3D606E4-E65F-49DC-B3FC-87283C6B0CBB}" name="Field"/>
    <tableColumn id="2" xr3:uid="{AA1EEA3C-8469-4160-B4A0-0D3B39C020A4}" name="Type"/>
    <tableColumn id="3" xr3:uid="{3F5462F8-117F-4566-8192-492AC901BB25}" name="Null"/>
    <tableColumn id="4" xr3:uid="{57144DC1-F2BF-4F3A-9021-8BCD09843DD4}" name="Key"/>
    <tableColumn id="5" xr3:uid="{6D2FE058-0416-4F8C-A0B1-3EA1D8D307FD}" name="Default"/>
    <tableColumn id="6" xr3:uid="{29096B57-CE6F-465A-8E28-4D486D2796A3}" name="Ext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B4CC72-AD0F-43AF-9862-76D8633CE98A}" name="Tabla10" displayName="Tabla10" ref="B2:D4" totalsRowShown="0" headerRowDxfId="58" dataDxfId="57">
  <autoFilter ref="B2:D4" xr:uid="{B4B4CC72-AD0F-43AF-9862-76D8633CE98A}"/>
  <tableColumns count="3">
    <tableColumn id="1" xr3:uid="{7322CE7C-AF33-4464-B549-2154460C9963}" name="ID_ORIGEN" dataDxfId="61"/>
    <tableColumn id="2" xr3:uid="{19DDD5B7-1265-43D3-8AFD-DD575B3D1438}" name="ORIGEN" dataDxfId="60"/>
    <tableColumn id="3" xr3:uid="{583AC2AD-5C88-4872-8056-65C28FF0E7DC}" name="INSERT" dataDxfId="59">
      <calculatedColumnFormula>"INSERT INTO ORIGEN (ID_ORIGEN,ORIGEN) VALUES ("&amp;B3&amp;","&amp;C3&amp;"');"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3AAA2D-2B25-4D31-BEF5-ED3C1BED778C}" name="Tabla246" displayName="Tabla246" ref="B2:G5" totalsRowShown="0">
  <autoFilter ref="B2:G5" xr:uid="{F73AAA2D-2B25-4D31-BEF5-ED3C1BED778C}"/>
  <tableColumns count="6">
    <tableColumn id="1" xr3:uid="{3FBE44C5-52DA-4C6A-8C76-B3746CF13781}" name="Field"/>
    <tableColumn id="2" xr3:uid="{84A58CE7-D0FB-4276-98DA-700C445E00A1}" name="Type"/>
    <tableColumn id="3" xr3:uid="{78A7EF51-B035-4145-8612-16586D3F4BBC}" name="Null"/>
    <tableColumn id="4" xr3:uid="{761EA268-2CE3-46BD-AD06-64EAF18F2B20}" name="Key"/>
    <tableColumn id="5" xr3:uid="{B24F6120-207E-4D6F-8A4A-6A3EA0C6CF37}" name="Default"/>
    <tableColumn id="6" xr3:uid="{B6574548-F4CE-41D0-880B-405E065ED9AC}" name="Ext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29774F3-42D6-41B4-83D6-D77DDFDF4914}" name="Tabla11" displayName="Tabla11" ref="B2:E7" totalsRowShown="0" headerRowDxfId="52" dataDxfId="53">
  <autoFilter ref="B2:E7" xr:uid="{F29774F3-42D6-41B4-83D6-D77DDFDF4914}"/>
  <tableColumns count="4">
    <tableColumn id="1" xr3:uid="{F89AAF59-CB15-4C1B-9D5D-44E09E579CF0}" name="ID_SUBTEMA" dataDxfId="56"/>
    <tableColumn id="2" xr3:uid="{01554B2F-7C87-498A-8655-5491B9220812}" name="ID_TEMA" dataDxfId="55"/>
    <tableColumn id="3" xr3:uid="{DCF37A38-6B52-42EF-8416-7289656117AF}" name="NOMBRE_SUBTEMA" dataDxfId="54"/>
    <tableColumn id="4" xr3:uid="{F8D5A91C-EF66-4329-AEE7-86D539E8BB39}" name="INSERT">
      <calculatedColumnFormula>"INSERT INTO SUBTEMA (ID_SUBTEMA,ID_TEMA,NOMBRE_SUBTEMA) VALUES ("&amp;B3&amp;","&amp;C3&amp;","&amp;D3&amp;");"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4B673D-C290-44D4-BECC-710D0574B2B9}" name="Tabla246789" displayName="Tabla246789" ref="B2:G4" totalsRowShown="0">
  <autoFilter ref="B2:G4" xr:uid="{374B673D-C290-44D4-BECC-710D0574B2B9}"/>
  <tableColumns count="6">
    <tableColumn id="1" xr3:uid="{7AACA28C-BF23-4053-9BDF-46BB13329A2A}" name="Field"/>
    <tableColumn id="2" xr3:uid="{19BADB24-C1F0-4C04-8706-7CDD79137F15}" name="Type"/>
    <tableColumn id="3" xr3:uid="{86532382-46A7-46D6-BA53-F53FDFDBD627}" name="Null"/>
    <tableColumn id="4" xr3:uid="{E568AAA3-123F-410E-9141-8894A21E8664}" name="Key"/>
    <tableColumn id="5" xr3:uid="{2D427492-2356-4F0B-BE59-39EAEFA9F1ED}" name="Default"/>
    <tableColumn id="6" xr3:uid="{2188EB74-27A6-408A-9867-B073EF102777}" name="Ext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8DCA2D1-7429-4CAA-B4A4-1B121A47835D}" name="Tabla12" displayName="Tabla12" ref="B2:D105" totalsRowShown="0" headerRowDxfId="48" dataDxfId="47">
  <autoFilter ref="B2:D105" xr:uid="{78DCA2D1-7429-4CAA-B4A4-1B121A47835D}"/>
  <tableColumns count="3">
    <tableColumn id="1" xr3:uid="{8B493E6D-B968-4B2E-8C61-B12132A1457D}" name="ID_TOPICO" dataDxfId="51"/>
    <tableColumn id="2" xr3:uid="{31E9E261-95B4-4974-8121-80BDC708F84C}" name="NOMBRE_TOPICO" dataDxfId="50"/>
    <tableColumn id="3" xr3:uid="{D1A53291-469C-4FA4-92DE-CDFD9219DBA9}" name="INSERT" dataDxfId="49">
      <calculatedColumnFormula>"INSERT INTO TOPICO (ID_TOPICO,NOMBRE_TOPICO) VALUES ("&amp;B3&amp;","&amp;C3&amp;");"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AF4B4E-CAFF-420A-9D14-3E3E6D81A1BF}" name="Tabla2467" displayName="Tabla2467" ref="B2:G5" totalsRowShown="0">
  <autoFilter ref="B2:G5" xr:uid="{DEAF4B4E-CAFF-420A-9D14-3E3E6D81A1BF}"/>
  <tableColumns count="6">
    <tableColumn id="1" xr3:uid="{19553F45-B8A9-4C0E-A867-53BAD39CE3B7}" name="Field"/>
    <tableColumn id="2" xr3:uid="{EC773BF2-B978-4C76-B9FD-8A2B3613027F}" name="Type"/>
    <tableColumn id="3" xr3:uid="{61A61B67-3FD6-48D4-995A-FA6A5A5A1575}" name="Null"/>
    <tableColumn id="4" xr3:uid="{D9C3FC46-24B0-4E35-9CCA-0781B11E5013}" name="Key"/>
    <tableColumn id="5" xr3:uid="{634076FE-42AE-4CC5-B8ED-7DA9D5CD3B70}" name="Default"/>
    <tableColumn id="6" xr3:uid="{0DEA98C5-A1AE-4488-BD29-1ADE75B81E95}" name="Ext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684AE8-9384-49D4-BDFE-CE13E80C1F15}" name="Tabla13" displayName="Tabla13" ref="B2:E29" totalsRowShown="0" headerRowDxfId="39" dataDxfId="40" headerRowBorderDxfId="45" tableBorderDxfId="46">
  <autoFilter ref="B2:E29" xr:uid="{B6684AE8-9384-49D4-BDFE-CE13E80C1F15}"/>
  <tableColumns count="4">
    <tableColumn id="1" xr3:uid="{A9D96497-2F0B-42D6-AFA0-AA9C01F5BBB2}" name="ID_SUBTEMA_TOPICO" dataDxfId="44"/>
    <tableColumn id="2" xr3:uid="{E51C7248-DEF9-43DA-AEF5-7633CD9181A6}" name="ID_SUBTEMA" dataDxfId="43"/>
    <tableColumn id="3" xr3:uid="{682ACB74-CFB3-4D9F-BBD9-9A9F27B59988}" name="ID_TOPICO" dataDxfId="42"/>
    <tableColumn id="4" xr3:uid="{427E134F-B6D6-4F0F-BB18-ABB813F0B9BD}" name="INSERT" dataDxfId="41">
      <calculatedColumnFormula>"INSERT INTO SUBTEMA_TOPICO (ID_SUBTEMA_TOPICO,ID_SUBTEMA,ID_TOPICO) VALUES ("&amp;B3&amp;","&amp;C3&amp;","&amp;D3&amp;");"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66236D-394D-4AAF-A79B-69DB2808E4DA}" name="Tabla24678" displayName="Tabla24678" ref="B2:G4" totalsRowShown="0">
  <autoFilter ref="B2:G4" xr:uid="{3166236D-394D-4AAF-A79B-69DB2808E4DA}"/>
  <tableColumns count="6">
    <tableColumn id="1" xr3:uid="{417A8968-66E4-4D39-BD2C-4333020AB007}" name="Field"/>
    <tableColumn id="2" xr3:uid="{CEC37875-C251-4B22-858D-B9468F6BBA4C}" name="Type"/>
    <tableColumn id="3" xr3:uid="{19146342-C0C7-4EFF-824A-82B29EC9921D}" name="Null"/>
    <tableColumn id="4" xr3:uid="{DFA3DC91-8783-4467-82F9-DE91EFD4E749}" name="Key"/>
    <tableColumn id="5" xr3:uid="{06600CFC-68A4-4B69-8025-16149E68FB35}" name="Default"/>
    <tableColumn id="6" xr3:uid="{DDB0234C-317B-4A1E-A30B-5A88C167368F}" name="Extr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2F94965-43BC-4F79-ADA6-006B4E348EE0}" name="Tabla14" displayName="Tabla14" ref="B2:D3" totalsRowShown="0" headerRowDxfId="35" dataDxfId="34">
  <autoFilter ref="B2:D3" xr:uid="{72F94965-43BC-4F79-ADA6-006B4E348EE0}"/>
  <tableColumns count="3">
    <tableColumn id="1" xr3:uid="{704870BF-52D4-40A0-819A-5CDA6439B2BA}" name="ID_TEMA" dataDxfId="38"/>
    <tableColumn id="2" xr3:uid="{DFFE6212-2CD7-46F9-975E-301E22A5E752}" name="NOMBRE_TEMA" dataDxfId="37"/>
    <tableColumn id="3" xr3:uid="{6574652F-9FA3-4CB9-A89B-3C592C5719CE}" name="INSERT" dataDxfId="36">
      <calculatedColumnFormula>"INSERT INTO TEMA (ID_TEMA,NOMBRE_TEMA) VALUES ("&amp;B3&amp;","&amp;C3&amp;");"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E92AF8-04AC-451C-9E44-FAA378E392DB}" name="Tabla245" displayName="Tabla245" ref="B2:G32" totalsRowShown="0">
  <autoFilter ref="B2:G32" xr:uid="{D0E92AF8-04AC-451C-9E44-FAA378E392DB}"/>
  <tableColumns count="6">
    <tableColumn id="1" xr3:uid="{E05B4FE1-DDC9-419A-8840-4A440715CCFF}" name="Field"/>
    <tableColumn id="2" xr3:uid="{6CA23735-1C5A-4540-BA85-15E4C285AA25}" name="Type"/>
    <tableColumn id="3" xr3:uid="{444EA69E-B3B6-44EA-AA19-F45A0E72B35B}" name="Null"/>
    <tableColumn id="4" xr3:uid="{E3F33B79-7C5C-4D8A-96EC-E134CD9653EC}" name="Key"/>
    <tableColumn id="5" xr3:uid="{EC5309BF-92F7-4D04-B783-9058FC948CAE}" name="Default"/>
    <tableColumn id="6" xr3:uid="{4D9EC35A-3FC6-4465-A37A-A1A5572DF976}" name="Extr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EDD5588-3BE7-4A89-94BE-0BD0C9A30B13}" name="Tabla15" displayName="Tabla15" ref="B2:AE390" totalsRowShown="0" headerRowDxfId="7" dataDxfId="6" headerRowBorderDxfId="32" tableBorderDxfId="33">
  <autoFilter ref="B2:AE390" xr:uid="{9EDD5588-3BE7-4A89-94BE-0BD0C9A30B13}"/>
  <tableColumns count="30">
    <tableColumn id="1" xr3:uid="{2CB816C7-B93C-4D60-8004-5368BC3ED09B}" name="ID_PREGUNTA" dataDxfId="31"/>
    <tableColumn id="2" xr3:uid="{576E6C76-8E3E-4502-BD09-3B125709E191}" name="ID_SUBTEMA_TOPICO" dataDxfId="30"/>
    <tableColumn id="3" xr3:uid="{0F26B979-BBF4-46DE-9D34-C9C97CE1CB85}" name="ID_ORIGEN" dataDxfId="29"/>
    <tableColumn id="4" xr3:uid="{8FFA99A2-557B-4B4C-830D-19B22AA9D319}" name="PREGUNTA" dataDxfId="28"/>
    <tableColumn id="5" xr3:uid="{B8829342-7521-429A-BF55-21D00B57B6E0}" name="RUTA_ARCHIVO" dataDxfId="5"/>
    <tableColumn id="6" xr3:uid="{811A30FE-3096-4F34-BF4D-692B5414EAEA}" name="RESPUESTA_A" dataDxfId="4"/>
    <tableColumn id="7" xr3:uid="{E5BA40D4-6A10-42D0-AC4C-DA862E5B1D6F}" name="RESPUESTA_B" dataDxfId="3"/>
    <tableColumn id="8" xr3:uid="{3123D8DB-5732-4C25-8DE5-D118036631BC}" name="RESPUESTA_C" dataDxfId="2"/>
    <tableColumn id="9" xr3:uid="{820FA19D-7562-4DDC-A393-BCDD622C35BE}" name="RESPUESTA_D" dataDxfId="0"/>
    <tableColumn id="10" xr3:uid="{8415F284-8FDC-44DF-B130-BBD93DEF90C7}" name="RESPUESTA_E" dataDxfId="1"/>
    <tableColumn id="11" xr3:uid="{14539EA3-9B7F-4BE8-8415-E34AF1C339EA}" name="RESPUESTA_F" dataDxfId="27"/>
    <tableColumn id="12" xr3:uid="{20CA9811-CC19-49A0-9DA8-3A3E37B22BCE}" name="RESPUESTA_G" dataDxfId="26"/>
    <tableColumn id="13" xr3:uid="{2ACB5B3F-FB96-452A-8873-074B2DDC259C}" name="RESPUESTA_H" dataDxfId="25"/>
    <tableColumn id="14" xr3:uid="{26477DAD-F1A2-47A3-992F-CEED40DF88A4}" name="RESPUESTA_I" dataDxfId="24"/>
    <tableColumn id="15" xr3:uid="{965233CB-88F1-4218-8901-744382E56D42}" name="RESPUESTA_CORRECTA" dataDxfId="23"/>
    <tableColumn id="16" xr3:uid="{FE7549A8-F39E-4929-95D6-50E797B0E73F}" name="EXPLICACION" dataDxfId="22"/>
    <tableColumn id="17" xr3:uid="{45945A9E-8A50-4D8E-ADFA-321D79D9A131}" name="IMAGEN_PREGUNTA" dataDxfId="21"/>
    <tableColumn id="18" xr3:uid="{F50A7019-6304-49F1-BD2C-A671D72E6A40}" name="ERRORES" dataDxfId="20"/>
    <tableColumn id="19" xr3:uid="{4225B0B1-4DE4-4E11-8CA0-4A28053FF81E}" name="ID_MATERIA" dataDxfId="19"/>
    <tableColumn id="20" xr3:uid="{79A3DEF9-6E67-44E0-9287-979F7AA3FEE1}" name="UNIDAD" dataDxfId="18"/>
    <tableColumn id="21" xr3:uid="{4E76CCCB-0260-4679-ADF8-2F3CC01D36AE}" name="IMAGEN_RESP_A" dataDxfId="17"/>
    <tableColumn id="22" xr3:uid="{5BAD0E13-4A79-4088-8A41-2A7A28D78478}" name="IMAGEN_RESP_B" dataDxfId="16"/>
    <tableColumn id="23" xr3:uid="{9B207FD9-F62F-4C54-8E0F-FC04FD03CC8C}" name="IMAGEN_RESP_C" dataDxfId="15"/>
    <tableColumn id="24" xr3:uid="{0646C167-1961-478B-9329-9300E1504FFD}" name="IMAGEN_RESP_D" dataDxfId="14"/>
    <tableColumn id="25" xr3:uid="{F2A5668A-BDC3-468D-A1E8-B1E04D712381}" name="IMAGEN_RESP_E" dataDxfId="13"/>
    <tableColumn id="26" xr3:uid="{E70C54D1-EE05-4C33-9E56-F9A4B24228C3}" name="IMAGEN_RESP_F" dataDxfId="12"/>
    <tableColumn id="27" xr3:uid="{F67C7603-9F05-4F00-A6C7-2C702158D5E0}" name="IMAGEN_RESP_G" dataDxfId="11"/>
    <tableColumn id="28" xr3:uid="{A8AB81D2-941F-4340-9A27-5BA773AFC11E}" name="IMAGEN_RESP_H" dataDxfId="10"/>
    <tableColumn id="29" xr3:uid="{42345828-A775-4E26-AD99-8AE2FFB45E6A}" name="IMAGEN_RESP_I" dataDxfId="9"/>
    <tableColumn id="30" xr3:uid="{089206E6-A983-49BE-BD8F-2879B0EB38C3}" name="IMAGEN_EXPLICA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"/>
  <sheetViews>
    <sheetView workbookViewId="0">
      <selection activeCell="B3" sqref="B3:B4"/>
    </sheetView>
  </sheetViews>
  <sheetFormatPr baseColWidth="10" defaultColWidth="9.140625" defaultRowHeight="15" x14ac:dyDescent="0.25"/>
  <cols>
    <col min="2" max="2" width="18" bestFit="1" customWidth="1"/>
    <col min="3" max="3" width="11.85546875" bestFit="1" customWidth="1"/>
    <col min="4" max="4" width="7" bestFit="1" customWidth="1"/>
    <col min="6" max="6" width="9.85546875" bestFit="1" customWidth="1"/>
    <col min="7" max="7" width="15.140625" bestFit="1" customWidth="1"/>
  </cols>
  <sheetData>
    <row r="2" spans="2:7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2:7" x14ac:dyDescent="0.25">
      <c r="B3" t="s">
        <v>0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2:7" x14ac:dyDescent="0.25">
      <c r="B4" t="s">
        <v>1</v>
      </c>
      <c r="C4" t="s">
        <v>13</v>
      </c>
      <c r="D4" t="s">
        <v>14</v>
      </c>
      <c r="F4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FCCB-EDD0-4F95-AC52-54E8E0773C08}">
  <dimension ref="B2:D11"/>
  <sheetViews>
    <sheetView workbookViewId="0">
      <selection activeCell="D15" sqref="D15"/>
    </sheetView>
  </sheetViews>
  <sheetFormatPr baseColWidth="10" defaultRowHeight="15" x14ac:dyDescent="0.25"/>
  <cols>
    <col min="2" max="2" width="14.140625" customWidth="1"/>
    <col min="3" max="3" width="42.42578125" bestFit="1" customWidth="1"/>
    <col min="4" max="4" width="107" bestFit="1" customWidth="1"/>
  </cols>
  <sheetData>
    <row r="2" spans="2:4" x14ac:dyDescent="0.25">
      <c r="B2" s="3" t="s">
        <v>0</v>
      </c>
      <c r="C2" s="3" t="s">
        <v>1</v>
      </c>
      <c r="D2" t="s">
        <v>68</v>
      </c>
    </row>
    <row r="3" spans="2:4" x14ac:dyDescent="0.25">
      <c r="B3">
        <v>1</v>
      </c>
      <c r="C3" t="s">
        <v>59</v>
      </c>
      <c r="D3" t="str">
        <f>"INSERT INTO MATERIA (ID_MATERIA,NOMBRE_MATERIA) VALUES ("&amp;Tabla9[[#This Row],[ID_MATERIA]]&amp;","&amp;Tabla9[[#This Row],[NOMBRE_MATERIA]]&amp;"');"</f>
        <v>INSERT INTO MATERIA (ID_MATERIA,NOMBRE_MATERIA) VALUES (1,CIBERSEGURIDAD WEB');</v>
      </c>
    </row>
    <row r="4" spans="2:4" x14ac:dyDescent="0.25">
      <c r="B4">
        <v>2</v>
      </c>
      <c r="C4" t="s">
        <v>60</v>
      </c>
      <c r="D4" t="str">
        <f>"INSERT INTO MATERIA (ID_MATERIA,NOMBRE_MATERIA) VALUES ("&amp;Tabla9[[#This Row],[ID_MATERIA]]&amp;","&amp;Tabla9[[#This Row],[NOMBRE_MATERIA]]&amp;"');"</f>
        <v>INSERT INTO MATERIA (ID_MATERIA,NOMBRE_MATERIA) VALUES (2,DESARROLLO SEGURO DEL SOFTWARE');</v>
      </c>
    </row>
    <row r="5" spans="2:4" x14ac:dyDescent="0.25">
      <c r="B5">
        <v>3</v>
      </c>
      <c r="C5" t="s">
        <v>61</v>
      </c>
      <c r="D5" t="str">
        <f>"INSERT INTO MATERIA (ID_MATERIA,NOMBRE_MATERIA) VALUES ("&amp;Tabla9[[#This Row],[ID_MATERIA]]&amp;","&amp;Tabla9[[#This Row],[NOMBRE_MATERIA]]&amp;"');"</f>
        <v>INSERT INTO MATERIA (ID_MATERIA,NOMBRE_MATERIA) VALUES (3,PLATAFORMAS DE DESARROLLO DE SOFTWARE');</v>
      </c>
    </row>
    <row r="6" spans="2:4" x14ac:dyDescent="0.25">
      <c r="B6">
        <v>4</v>
      </c>
      <c r="C6" t="s">
        <v>62</v>
      </c>
      <c r="D6" t="str">
        <f>"INSERT INTO MATERIA (ID_MATERIA,NOMBRE_MATERIA) VALUES ("&amp;Tabla9[[#This Row],[ID_MATERIA]]&amp;","&amp;Tabla9[[#This Row],[NOMBRE_MATERIA]]&amp;"');"</f>
        <v>INSERT INTO MATERIA (ID_MATERIA,NOMBRE_MATERIA) VALUES (4,ADMINISTRACION DE SISITEMAS');</v>
      </c>
    </row>
    <row r="7" spans="2:4" x14ac:dyDescent="0.25">
      <c r="B7">
        <v>5</v>
      </c>
      <c r="C7" t="s">
        <v>63</v>
      </c>
      <c r="D7" t="str">
        <f>"INSERT INTO MATERIA (ID_MATERIA,NOMBRE_MATERIA) VALUES ("&amp;Tabla9[[#This Row],[ID_MATERIA]]&amp;","&amp;Tabla9[[#This Row],[NOMBRE_MATERIA]]&amp;"');"</f>
        <v>INSERT INTO MATERIA (ID_MATERIA,NOMBRE_MATERIA) VALUES (5,EXPERIENCIA E INTERFAZ DE USUARIO');</v>
      </c>
    </row>
    <row r="8" spans="2:4" x14ac:dyDescent="0.25">
      <c r="B8">
        <v>6</v>
      </c>
      <c r="C8" t="s">
        <v>64</v>
      </c>
      <c r="D8" t="str">
        <f>"INSERT INTO MATERIA (ID_MATERIA,NOMBRE_MATERIA) VALUES ("&amp;Tabla9[[#This Row],[ID_MATERIA]]&amp;","&amp;Tabla9[[#This Row],[NOMBRE_MATERIA]]&amp;"');"</f>
        <v>INSERT INTO MATERIA (ID_MATERIA,NOMBRE_MATERIA) VALUES (6,PROYECTO DE APLICACION');</v>
      </c>
    </row>
    <row r="9" spans="2:4" x14ac:dyDescent="0.25">
      <c r="B9">
        <v>7</v>
      </c>
      <c r="C9" t="s">
        <v>65</v>
      </c>
      <c r="D9" t="str">
        <f>"INSERT INTO MATERIA (ID_MATERIA,NOMBRE_MATERIA) VALUES ("&amp;Tabla9[[#This Row],[ID_MATERIA]]&amp;","&amp;Tabla9[[#This Row],[NOMBRE_MATERIA]]&amp;"');"</f>
        <v>INSERT INTO MATERIA (ID_MATERIA,NOMBRE_MATERIA) VALUES (7,METODOLOGIAS DESARROLLO Y CALIDAD');</v>
      </c>
    </row>
    <row r="10" spans="2:4" x14ac:dyDescent="0.25">
      <c r="B10">
        <v>8</v>
      </c>
      <c r="C10" t="s">
        <v>66</v>
      </c>
      <c r="D10" t="str">
        <f>"INSERT INTO MATERIA (ID_MATERIA,NOMBRE_MATERIA) VALUES ("&amp;Tabla9[[#This Row],[ID_MATERIA]]&amp;","&amp;Tabla9[[#This Row],[NOMBRE_MATERIA]]&amp;"');"</f>
        <v>INSERT INTO MATERIA (ID_MATERIA,NOMBRE_MATERIA) VALUES (8,DIRECCION Y GESTION');</v>
      </c>
    </row>
    <row r="11" spans="2:4" x14ac:dyDescent="0.25">
      <c r="B11">
        <v>9</v>
      </c>
      <c r="C11" t="s">
        <v>67</v>
      </c>
      <c r="D11" t="str">
        <f>"INSERT INTO MATERIA (ID_MATERIA,NOMBRE_MATERIA) VALUES ("&amp;Tabla9[[#This Row],[ID_MATERIA]]&amp;","&amp;Tabla9[[#This Row],[NOMBRE_MATERIA]]&amp;"');"</f>
        <v>INSERT INTO MATERIA (ID_MATERIA,NOMBRE_MATERIA) VALUES (9,DESARROLLO WEB INTEGRAL');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C8D0-83A9-4AE5-B563-F3CFD8CEB72A}">
  <dimension ref="B2:G4"/>
  <sheetViews>
    <sheetView workbookViewId="0">
      <selection activeCell="B3" sqref="B3:B4"/>
    </sheetView>
  </sheetViews>
  <sheetFormatPr baseColWidth="10" defaultRowHeight="15" x14ac:dyDescent="0.25"/>
  <cols>
    <col min="2" max="2" width="18" bestFit="1" customWidth="1"/>
    <col min="3" max="3" width="11.85546875" bestFit="1" customWidth="1"/>
    <col min="7" max="7" width="15.140625" bestFit="1" customWidth="1"/>
  </cols>
  <sheetData>
    <row r="2" spans="2:7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2:7" x14ac:dyDescent="0.25">
      <c r="B3" t="s">
        <v>15</v>
      </c>
      <c r="C3" t="s">
        <v>8</v>
      </c>
      <c r="D3" t="s">
        <v>9</v>
      </c>
      <c r="E3" t="s">
        <v>10</v>
      </c>
      <c r="G3" t="s">
        <v>12</v>
      </c>
    </row>
    <row r="4" spans="2:7" x14ac:dyDescent="0.25">
      <c r="B4" t="s">
        <v>16</v>
      </c>
      <c r="C4" t="s">
        <v>13</v>
      </c>
      <c r="D4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3080-F0E1-4682-8138-9101F403E6A6}">
  <dimension ref="B2:D4"/>
  <sheetViews>
    <sheetView workbookViewId="0">
      <selection activeCell="D3" sqref="D3"/>
    </sheetView>
  </sheetViews>
  <sheetFormatPr baseColWidth="10" defaultRowHeight="15" x14ac:dyDescent="0.25"/>
  <cols>
    <col min="2" max="2" width="13" customWidth="1"/>
    <col min="4" max="4" width="59.28515625" bestFit="1" customWidth="1"/>
  </cols>
  <sheetData>
    <row r="2" spans="2:4" x14ac:dyDescent="0.25">
      <c r="B2" s="3" t="s">
        <v>15</v>
      </c>
      <c r="C2" s="3" t="s">
        <v>16</v>
      </c>
      <c r="D2" s="4" t="s">
        <v>68</v>
      </c>
    </row>
    <row r="3" spans="2:4" x14ac:dyDescent="0.25">
      <c r="B3" s="5">
        <v>1</v>
      </c>
      <c r="C3" s="5" t="s">
        <v>69</v>
      </c>
      <c r="D3" s="6" t="str">
        <f>"INSERT INTO ORIGEN (ID_ORIGEN,ORIGEN) VALUES ("&amp;B3&amp;","&amp;C3&amp;"');"</f>
        <v>INSERT INTO ORIGEN (ID_ORIGEN,ORIGEN) VALUES (1,CHATGPT');</v>
      </c>
    </row>
    <row r="4" spans="2:4" x14ac:dyDescent="0.25">
      <c r="B4" s="5">
        <v>2</v>
      </c>
      <c r="C4" s="5" t="s">
        <v>70</v>
      </c>
      <c r="D4" s="6" t="str">
        <f>"INSERT INTO ORIGEN (ID_ORIGEN,ORIGEN) VALUES ("&amp;B4&amp;","&amp;C4&amp;"');"</f>
        <v>INSERT INTO ORIGEN (ID_ORIGEN,ORIGEN) VALUES (2,UNIR');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5281-B9CB-4F11-B5B3-A178D3A5DEA8}">
  <dimension ref="B2:G5"/>
  <sheetViews>
    <sheetView workbookViewId="0">
      <selection activeCell="B3" sqref="B3:B5"/>
    </sheetView>
  </sheetViews>
  <sheetFormatPr baseColWidth="10" defaultRowHeight="15" x14ac:dyDescent="0.25"/>
  <cols>
    <col min="2" max="2" width="18" bestFit="1" customWidth="1"/>
    <col min="3" max="3" width="11.85546875" bestFit="1" customWidth="1"/>
    <col min="7" max="7" width="15.140625" bestFit="1" customWidth="1"/>
  </cols>
  <sheetData>
    <row r="2" spans="2:7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2:7" x14ac:dyDescent="0.25">
      <c r="B3" t="s">
        <v>52</v>
      </c>
      <c r="C3" t="s">
        <v>8</v>
      </c>
      <c r="D3" t="s">
        <v>9</v>
      </c>
      <c r="E3" t="s">
        <v>10</v>
      </c>
      <c r="G3" t="s">
        <v>12</v>
      </c>
    </row>
    <row r="4" spans="2:7" x14ac:dyDescent="0.25">
      <c r="B4" t="s">
        <v>53</v>
      </c>
      <c r="C4" t="s">
        <v>8</v>
      </c>
      <c r="D4" t="s">
        <v>9</v>
      </c>
    </row>
    <row r="5" spans="2:7" x14ac:dyDescent="0.25">
      <c r="B5" t="s">
        <v>54</v>
      </c>
      <c r="C5" t="s">
        <v>55</v>
      </c>
      <c r="D5" t="s">
        <v>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E0B6-A5B0-45FD-8036-648FA48BB6F8}">
  <dimension ref="B2:E7"/>
  <sheetViews>
    <sheetView workbookViewId="0">
      <selection activeCell="E3" sqref="E3:E7"/>
    </sheetView>
  </sheetViews>
  <sheetFormatPr baseColWidth="10" defaultRowHeight="15" x14ac:dyDescent="0.25"/>
  <cols>
    <col min="2" max="2" width="14.7109375" customWidth="1"/>
    <col min="3" max="3" width="11.140625" customWidth="1"/>
    <col min="4" max="4" width="20.85546875" customWidth="1"/>
    <col min="5" max="5" width="88.7109375" bestFit="1" customWidth="1"/>
  </cols>
  <sheetData>
    <row r="2" spans="2:5" x14ac:dyDescent="0.25">
      <c r="B2" s="3" t="s">
        <v>52</v>
      </c>
      <c r="C2" s="3" t="s">
        <v>53</v>
      </c>
      <c r="D2" s="3" t="s">
        <v>54</v>
      </c>
      <c r="E2" s="7" t="s">
        <v>68</v>
      </c>
    </row>
    <row r="3" spans="2:5" x14ac:dyDescent="0.25">
      <c r="B3" s="2">
        <v>1</v>
      </c>
      <c r="C3" s="2">
        <v>1</v>
      </c>
      <c r="D3" s="2" t="s">
        <v>71</v>
      </c>
      <c r="E3" t="str">
        <f>"INSERT INTO SUBTEMA (ID_SUBTEMA,ID_TEMA,NOMBRE_SUBTEMA) VALUES ("&amp;B3&amp;","&amp;C3&amp;","&amp;D3&amp;");"</f>
        <v>INSERT INTO SUBTEMA (ID_SUBTEMA,ID_TEMA,NOMBRE_SUBTEMA) VALUES (1,1,JAVA);</v>
      </c>
    </row>
    <row r="4" spans="2:5" x14ac:dyDescent="0.25">
      <c r="B4" s="2">
        <v>2</v>
      </c>
      <c r="C4" s="2">
        <v>1</v>
      </c>
      <c r="D4" s="2" t="s">
        <v>72</v>
      </c>
      <c r="E4" t="str">
        <f t="shared" ref="E4:E7" si="0">"INSERT INTO SUBTEMA (ID_SUBTEMA,ID_TEMA,NOMBRE_SUBTEMA) VALUES ("&amp;B4&amp;","&amp;C4&amp;","&amp;D4&amp;");"</f>
        <v>INSERT INTO SUBTEMA (ID_SUBTEMA,ID_TEMA,NOMBRE_SUBTEMA) VALUES (2,1,PYTHON);</v>
      </c>
    </row>
    <row r="5" spans="2:5" x14ac:dyDescent="0.25">
      <c r="B5" s="2">
        <v>3</v>
      </c>
      <c r="C5" s="2">
        <v>1</v>
      </c>
      <c r="D5" s="2" t="s">
        <v>73</v>
      </c>
      <c r="E5" t="str">
        <f t="shared" si="0"/>
        <v>INSERT INTO SUBTEMA (ID_SUBTEMA,ID_TEMA,NOMBRE_SUBTEMA) VALUES (3,1,SQL);</v>
      </c>
    </row>
    <row r="6" spans="2:5" x14ac:dyDescent="0.25">
      <c r="B6" s="2">
        <v>4</v>
      </c>
      <c r="C6" s="2">
        <v>1</v>
      </c>
      <c r="D6" s="2" t="s">
        <v>74</v>
      </c>
      <c r="E6" t="str">
        <f t="shared" si="0"/>
        <v>INSERT INTO SUBTEMA (ID_SUBTEMA,ID_TEMA,NOMBRE_SUBTEMA) VALUES (4,1,SCRUM);</v>
      </c>
    </row>
    <row r="7" spans="2:5" ht="30" x14ac:dyDescent="0.25">
      <c r="B7" s="2">
        <v>5</v>
      </c>
      <c r="C7" s="2">
        <v>1</v>
      </c>
      <c r="D7" s="2" t="s">
        <v>75</v>
      </c>
      <c r="E7" t="str">
        <f t="shared" si="0"/>
        <v>INSERT INTO SUBTEMA (ID_SUBTEMA,ID_TEMA,NOMBRE_SUBTEMA) VALUES (5,1,CIBERSEGURIDAD);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3080-C524-4218-A04E-458608DC9260}">
  <dimension ref="B2:G4"/>
  <sheetViews>
    <sheetView workbookViewId="0">
      <selection activeCell="B3" sqref="B3:B4"/>
    </sheetView>
  </sheetViews>
  <sheetFormatPr baseColWidth="10" defaultRowHeight="15" x14ac:dyDescent="0.25"/>
  <sheetData>
    <row r="2" spans="2:7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2:7" x14ac:dyDescent="0.25">
      <c r="B3" t="s">
        <v>56</v>
      </c>
      <c r="C3" t="s">
        <v>8</v>
      </c>
      <c r="D3" t="s">
        <v>9</v>
      </c>
      <c r="E3" t="s">
        <v>10</v>
      </c>
      <c r="G3" t="s">
        <v>12</v>
      </c>
    </row>
    <row r="4" spans="2:7" x14ac:dyDescent="0.25">
      <c r="B4" t="s">
        <v>58</v>
      </c>
      <c r="C4" t="s">
        <v>55</v>
      </c>
      <c r="D4" t="s">
        <v>9</v>
      </c>
      <c r="E4" t="s">
        <v>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3F43-CB82-4073-B7AF-2420280385C1}">
  <dimension ref="B2:D105"/>
  <sheetViews>
    <sheetView workbookViewId="0">
      <selection activeCell="D3" sqref="D3"/>
    </sheetView>
  </sheetViews>
  <sheetFormatPr baseColWidth="10" defaultRowHeight="15" x14ac:dyDescent="0.25"/>
  <cols>
    <col min="2" max="2" width="12.7109375" customWidth="1"/>
    <col min="3" max="3" width="44.28515625" bestFit="1" customWidth="1"/>
    <col min="4" max="4" width="104" bestFit="1" customWidth="1"/>
  </cols>
  <sheetData>
    <row r="2" spans="2:4" x14ac:dyDescent="0.25">
      <c r="B2" s="3" t="s">
        <v>56</v>
      </c>
      <c r="C2" s="3" t="s">
        <v>58</v>
      </c>
      <c r="D2" s="4" t="s">
        <v>68</v>
      </c>
    </row>
    <row r="3" spans="2:4" x14ac:dyDescent="0.25">
      <c r="B3" s="4">
        <v>1</v>
      </c>
      <c r="C3" s="4" t="s">
        <v>76</v>
      </c>
      <c r="D3" s="4" t="str">
        <f>"INSERT INTO TOPICO (ID_TOPICO,NOMBRE_TOPICO) VALUES ("&amp;B3&amp;","&amp;C3&amp;");"</f>
        <v>INSERT INTO TOPICO (ID_TOPICO,NOMBRE_TOPICO) VALUES (1,SINTAXIS);</v>
      </c>
    </row>
    <row r="4" spans="2:4" x14ac:dyDescent="0.25">
      <c r="B4" s="4">
        <v>2</v>
      </c>
      <c r="C4" s="4" t="s">
        <v>77</v>
      </c>
      <c r="D4" s="4" t="str">
        <f t="shared" ref="D4:D67" si="0">"INSERT INTO TOPICO (ID_TOPICO,NOMBRE_TOPICO) VALUES ("&amp;B4&amp;","&amp;C4&amp;");"</f>
        <v>INSERT INTO TOPICO (ID_TOPICO,NOMBRE_TOPICO) VALUES (2,ROLES);</v>
      </c>
    </row>
    <row r="5" spans="2:4" x14ac:dyDescent="0.25">
      <c r="B5" s="4">
        <v>3</v>
      </c>
      <c r="C5" s="4" t="s">
        <v>78</v>
      </c>
      <c r="D5" s="4" t="str">
        <f t="shared" si="0"/>
        <v>INSERT INTO TOPICO (ID_TOPICO,NOMBRE_TOPICO) VALUES (3,HISTORIAS DE USUARIO);</v>
      </c>
    </row>
    <row r="6" spans="2:4" x14ac:dyDescent="0.25">
      <c r="B6" s="4">
        <v>4</v>
      </c>
      <c r="C6" s="4" t="s">
        <v>79</v>
      </c>
      <c r="D6" s="4" t="str">
        <f t="shared" si="0"/>
        <v>INSERT INTO TOPICO (ID_TOPICO,NOMBRE_TOPICO) VALUES (4,FASES);</v>
      </c>
    </row>
    <row r="7" spans="2:4" x14ac:dyDescent="0.25">
      <c r="B7" s="4">
        <v>5</v>
      </c>
      <c r="C7" s="4" t="s">
        <v>80</v>
      </c>
      <c r="D7" s="4" t="str">
        <f t="shared" si="0"/>
        <v>INSERT INTO TOPICO (ID_TOPICO,NOMBRE_TOPICO) VALUES (5,DAILY);</v>
      </c>
    </row>
    <row r="8" spans="2:4" x14ac:dyDescent="0.25">
      <c r="B8" s="4">
        <v>6</v>
      </c>
      <c r="C8" s="4" t="s">
        <v>81</v>
      </c>
      <c r="D8" s="4" t="str">
        <f t="shared" si="0"/>
        <v>INSERT INTO TOPICO (ID_TOPICO,NOMBRE_TOPICO) VALUES (6,CEREMONIAS);</v>
      </c>
    </row>
    <row r="9" spans="2:4" x14ac:dyDescent="0.25">
      <c r="B9" s="4">
        <v>7</v>
      </c>
      <c r="C9" s="4" t="s">
        <v>82</v>
      </c>
      <c r="D9" s="4" t="str">
        <f t="shared" si="0"/>
        <v>INSERT INTO TOPICO (ID_TOPICO,NOMBRE_TOPICO) VALUES (7,EPICAS);</v>
      </c>
    </row>
    <row r="10" spans="2:4" x14ac:dyDescent="0.25">
      <c r="B10" s="4">
        <v>8</v>
      </c>
      <c r="C10" s="4" t="s">
        <v>83</v>
      </c>
      <c r="D10" s="4" t="str">
        <f t="shared" si="0"/>
        <v>INSERT INTO TOPICO (ID_TOPICO,NOMBRE_TOPICO) VALUES (8,GRAFICAS DE SCRUM);</v>
      </c>
    </row>
    <row r="11" spans="2:4" x14ac:dyDescent="0.25">
      <c r="B11" s="4">
        <v>9</v>
      </c>
      <c r="C11" s="4" t="s">
        <v>84</v>
      </c>
      <c r="D11" s="4" t="str">
        <f t="shared" si="0"/>
        <v>INSERT INTO TOPICO (ID_TOPICO,NOMBRE_TOPICO) VALUES (9,ARTEACTOS);</v>
      </c>
    </row>
    <row r="12" spans="2:4" x14ac:dyDescent="0.25">
      <c r="B12" s="4">
        <v>10</v>
      </c>
      <c r="C12" s="4" t="s">
        <v>85</v>
      </c>
      <c r="D12" s="4" t="str">
        <f t="shared" si="0"/>
        <v>INSERT INTO TOPICO (ID_TOPICO,NOMBRE_TOPICO) VALUES (10,SPRINTS);</v>
      </c>
    </row>
    <row r="13" spans="2:4" x14ac:dyDescent="0.25">
      <c r="B13" s="4">
        <v>11</v>
      </c>
      <c r="C13" s="4" t="s">
        <v>86</v>
      </c>
      <c r="D13" s="4" t="str">
        <f t="shared" si="0"/>
        <v>INSERT INTO TOPICO (ID_TOPICO,NOMBRE_TOPICO) VALUES (11,TIPOS DE DATOS Y VARIABLES);</v>
      </c>
    </row>
    <row r="14" spans="2:4" x14ac:dyDescent="0.25">
      <c r="B14" s="4">
        <v>12</v>
      </c>
      <c r="C14" s="4" t="s">
        <v>87</v>
      </c>
      <c r="D14" s="4" t="str">
        <f t="shared" si="0"/>
        <v>INSERT INTO TOPICO (ID_TOPICO,NOMBRE_TOPICO) VALUES (12,ESTRUCTURAS DE CONTROL);</v>
      </c>
    </row>
    <row r="15" spans="2:4" x14ac:dyDescent="0.25">
      <c r="B15" s="4">
        <v>13</v>
      </c>
      <c r="C15" s="4" t="s">
        <v>88</v>
      </c>
      <c r="D15" s="4" t="str">
        <f t="shared" si="0"/>
        <v>INSERT INTO TOPICO (ID_TOPICO,NOMBRE_TOPICO) VALUES (13,METODOS Y FUNCIONES);</v>
      </c>
    </row>
    <row r="16" spans="2:4" x14ac:dyDescent="0.25">
      <c r="B16" s="4">
        <v>14</v>
      </c>
      <c r="C16" s="4" t="s">
        <v>89</v>
      </c>
      <c r="D16" s="4" t="str">
        <f t="shared" si="0"/>
        <v>INSERT INTO TOPICO (ID_TOPICO,NOMBRE_TOPICO) VALUES (14,CLASES);</v>
      </c>
    </row>
    <row r="17" spans="2:4" x14ac:dyDescent="0.25">
      <c r="B17" s="4">
        <v>15</v>
      </c>
      <c r="C17" s="4" t="s">
        <v>90</v>
      </c>
      <c r="D17" s="4" t="str">
        <f t="shared" si="0"/>
        <v>INSERT INTO TOPICO (ID_TOPICO,NOMBRE_TOPICO) VALUES (15,OBJETOS);</v>
      </c>
    </row>
    <row r="18" spans="2:4" x14ac:dyDescent="0.25">
      <c r="B18" s="4">
        <v>16</v>
      </c>
      <c r="C18" s="4" t="s">
        <v>91</v>
      </c>
      <c r="D18" s="4" t="str">
        <f t="shared" si="0"/>
        <v>INSERT INTO TOPICO (ID_TOPICO,NOMBRE_TOPICO) VALUES (16,EXCEPCIONES);</v>
      </c>
    </row>
    <row r="19" spans="2:4" x14ac:dyDescent="0.25">
      <c r="B19" s="4">
        <v>17</v>
      </c>
      <c r="C19" s="4" t="s">
        <v>92</v>
      </c>
      <c r="D19" s="4" t="str">
        <f t="shared" si="0"/>
        <v>INSERT INTO TOPICO (ID_TOPICO,NOMBRE_TOPICO) VALUES (17,PROGRAMACION ORIENTADA A OBJETOS);</v>
      </c>
    </row>
    <row r="20" spans="2:4" x14ac:dyDescent="0.25">
      <c r="B20" s="4">
        <v>18</v>
      </c>
      <c r="C20" s="4" t="s">
        <v>93</v>
      </c>
      <c r="D20" s="4" t="str">
        <f t="shared" si="0"/>
        <v>INSERT INTO TOPICO (ID_TOPICO,NOMBRE_TOPICO) VALUES (18,ENCAPSULAMINETO);</v>
      </c>
    </row>
    <row r="21" spans="2:4" x14ac:dyDescent="0.25">
      <c r="B21" s="4">
        <v>19</v>
      </c>
      <c r="C21" s="4" t="s">
        <v>94</v>
      </c>
      <c r="D21" s="4" t="str">
        <f t="shared" si="0"/>
        <v>INSERT INTO TOPICO (ID_TOPICO,NOMBRE_TOPICO) VALUES (19,ABSTRACCION Y COMPOSICION);</v>
      </c>
    </row>
    <row r="22" spans="2:4" x14ac:dyDescent="0.25">
      <c r="B22" s="4">
        <v>20</v>
      </c>
      <c r="C22" s="4" t="s">
        <v>95</v>
      </c>
      <c r="D22" s="4" t="str">
        <f t="shared" si="0"/>
        <v>INSERT INTO TOPICO (ID_TOPICO,NOMBRE_TOPICO) VALUES (20,RELACIONES ENTRE CLASES);</v>
      </c>
    </row>
    <row r="23" spans="2:4" x14ac:dyDescent="0.25">
      <c r="B23" s="4">
        <v>21</v>
      </c>
      <c r="C23" s="4" t="s">
        <v>96</v>
      </c>
      <c r="D23" s="4" t="str">
        <f t="shared" si="0"/>
        <v>INSERT INTO TOPICO (ID_TOPICO,NOMBRE_TOPICO) VALUES (21,USO DE INTERFACES Y CLASES ABSTRACTAS);</v>
      </c>
    </row>
    <row r="24" spans="2:4" x14ac:dyDescent="0.25">
      <c r="B24" s="4">
        <v>22</v>
      </c>
      <c r="C24" s="4" t="s">
        <v>97</v>
      </c>
      <c r="D24" s="4" t="str">
        <f t="shared" si="0"/>
        <v>INSERT INTO TOPICO (ID_TOPICO,NOMBRE_TOPICO) VALUES (22,COLECCIONES);</v>
      </c>
    </row>
    <row r="25" spans="2:4" x14ac:dyDescent="0.25">
      <c r="B25" s="4">
        <v>23</v>
      </c>
      <c r="C25" s="4" t="s">
        <v>98</v>
      </c>
      <c r="D25" s="4" t="str">
        <f t="shared" si="0"/>
        <v>INSERT INTO TOPICO (ID_TOPICO,NOMBRE_TOPICO) VALUES (23,ALGORITMOS DE ORDENAMIENTO Y BUSQUEDA);</v>
      </c>
    </row>
    <row r="26" spans="2:4" x14ac:dyDescent="0.25">
      <c r="B26" s="4">
        <v>24</v>
      </c>
      <c r="C26" s="4" t="s">
        <v>99</v>
      </c>
      <c r="D26" s="4" t="str">
        <f t="shared" si="0"/>
        <v>INSERT INTO TOPICO (ID_TOPICO,NOMBRE_TOPICO) VALUES (24,HILOS);</v>
      </c>
    </row>
    <row r="27" spans="2:4" x14ac:dyDescent="0.25">
      <c r="B27" s="4">
        <v>25</v>
      </c>
      <c r="C27" s="4" t="s">
        <v>100</v>
      </c>
      <c r="D27" s="4" t="str">
        <f t="shared" si="0"/>
        <v>INSERT INTO TOPICO (ID_TOPICO,NOMBRE_TOPICO) VALUES (25,SINCRONIZACION);</v>
      </c>
    </row>
    <row r="28" spans="2:4" x14ac:dyDescent="0.25">
      <c r="B28" s="4">
        <v>26</v>
      </c>
      <c r="C28" s="4" t="s">
        <v>101</v>
      </c>
      <c r="D28" s="4" t="str">
        <f t="shared" si="0"/>
        <v>INSERT INTO TOPICO (ID_TOPICO,NOMBRE_TOPICO) VALUES (26,MANEJO DE CONDICIONES);</v>
      </c>
    </row>
    <row r="29" spans="2:4" x14ac:dyDescent="0.25">
      <c r="B29" s="4">
        <v>27</v>
      </c>
      <c r="C29" s="4" t="s">
        <v>102</v>
      </c>
      <c r="D29" s="4" t="str">
        <f t="shared" si="0"/>
        <v>INSERT INTO TOPICO (ID_TOPICO,NOMBRE_TOPICO) VALUES (27,USO DE BLOQUEOS Y SEMAFOROS);</v>
      </c>
    </row>
    <row r="30" spans="2:4" x14ac:dyDescent="0.25">
      <c r="B30" s="4">
        <v>28</v>
      </c>
      <c r="C30" s="4" t="s">
        <v>103</v>
      </c>
      <c r="D30" s="4" t="str">
        <f t="shared" si="0"/>
        <v>INSERT INTO TOPICO (ID_TOPICO,NOMBRE_TOPICO) VALUES (28,JAVA.UTIL.CONCURRENT);</v>
      </c>
    </row>
    <row r="31" spans="2:4" x14ac:dyDescent="0.25">
      <c r="B31" s="4">
        <v>29</v>
      </c>
      <c r="C31" s="4" t="s">
        <v>104</v>
      </c>
      <c r="D31" s="4" t="str">
        <f t="shared" si="0"/>
        <v>INSERT INTO TOPICO (ID_TOPICO,NOMBRE_TOPICO) VALUES (29,JDBC);</v>
      </c>
    </row>
    <row r="32" spans="2:4" x14ac:dyDescent="0.25">
      <c r="B32" s="4">
        <v>30</v>
      </c>
      <c r="C32" s="4" t="s">
        <v>105</v>
      </c>
      <c r="D32" s="4" t="str">
        <f t="shared" si="0"/>
        <v>INSERT INTO TOPICO (ID_TOPICO,NOMBRE_TOPICO) VALUES (30,ORM);</v>
      </c>
    </row>
    <row r="33" spans="2:4" x14ac:dyDescent="0.25">
      <c r="B33" s="4">
        <v>31</v>
      </c>
      <c r="C33" s="4" t="s">
        <v>73</v>
      </c>
      <c r="D33" s="4" t="str">
        <f t="shared" si="0"/>
        <v>INSERT INTO TOPICO (ID_TOPICO,NOMBRE_TOPICO) VALUES (31,SQL);</v>
      </c>
    </row>
    <row r="34" spans="2:4" x14ac:dyDescent="0.25">
      <c r="B34" s="4">
        <v>32</v>
      </c>
      <c r="C34" s="4" t="s">
        <v>106</v>
      </c>
      <c r="D34" s="4" t="str">
        <f t="shared" si="0"/>
        <v>INSERT INTO TOPICO (ID_TOPICO,NOMBRE_TOPICO) VALUES (32,SERVLETS);</v>
      </c>
    </row>
    <row r="35" spans="2:4" x14ac:dyDescent="0.25">
      <c r="B35" s="4">
        <v>33</v>
      </c>
      <c r="C35" s="4" t="s">
        <v>107</v>
      </c>
      <c r="D35" s="4" t="str">
        <f t="shared" si="0"/>
        <v>INSERT INTO TOPICO (ID_TOPICO,NOMBRE_TOPICO) VALUES (33,JSP);</v>
      </c>
    </row>
    <row r="36" spans="2:4" x14ac:dyDescent="0.25">
      <c r="B36" s="4">
        <v>34</v>
      </c>
      <c r="C36" s="4" t="s">
        <v>108</v>
      </c>
      <c r="D36" s="4" t="str">
        <f t="shared" si="0"/>
        <v>INSERT INTO TOPICO (ID_TOPICO,NOMBRE_TOPICO) VALUES (34,SPRING);</v>
      </c>
    </row>
    <row r="37" spans="2:4" x14ac:dyDescent="0.25">
      <c r="B37" s="4">
        <v>35</v>
      </c>
      <c r="C37" s="4" t="s">
        <v>109</v>
      </c>
      <c r="D37" s="4" t="str">
        <f t="shared" si="0"/>
        <v>INSERT INTO TOPICO (ID_TOPICO,NOMBRE_TOPICO) VALUES (35,MVC);</v>
      </c>
    </row>
    <row r="38" spans="2:4" x14ac:dyDescent="0.25">
      <c r="B38" s="4">
        <v>36</v>
      </c>
      <c r="C38" s="4" t="s">
        <v>110</v>
      </c>
      <c r="D38" s="4" t="str">
        <f t="shared" si="0"/>
        <v>INSERT INTO TOPICO (ID_TOPICO,NOMBRE_TOPICO) VALUES (36,MANEJO DE SESIONES Y AUTENTICACION);</v>
      </c>
    </row>
    <row r="39" spans="2:4" x14ac:dyDescent="0.25">
      <c r="B39" s="4">
        <v>37</v>
      </c>
      <c r="C39" s="4" t="s">
        <v>111</v>
      </c>
      <c r="D39" s="4" t="str">
        <f t="shared" si="0"/>
        <v>INSERT INTO TOPICO (ID_TOPICO,NOMBRE_TOPICO) VALUES (37,HTTP);</v>
      </c>
    </row>
    <row r="40" spans="2:4" x14ac:dyDescent="0.25">
      <c r="B40" s="4">
        <v>38</v>
      </c>
      <c r="C40" s="4" t="s">
        <v>112</v>
      </c>
      <c r="D40" s="4" t="str">
        <f t="shared" si="0"/>
        <v>INSERT INTO TOPICO (ID_TOPICO,NOMBRE_TOPICO) VALUES (38,REST);</v>
      </c>
    </row>
    <row r="41" spans="2:4" x14ac:dyDescent="0.25">
      <c r="B41" s="4">
        <v>39</v>
      </c>
      <c r="C41" s="4" t="s">
        <v>113</v>
      </c>
      <c r="D41" s="4" t="str">
        <f t="shared" si="0"/>
        <v>INSERT INTO TOPICO (ID_TOPICO,NOMBRE_TOPICO) VALUES (39,IDE);</v>
      </c>
    </row>
    <row r="42" spans="2:4" x14ac:dyDescent="0.25">
      <c r="B42" s="4">
        <v>40</v>
      </c>
      <c r="C42" s="4" t="s">
        <v>114</v>
      </c>
      <c r="D42" s="4" t="str">
        <f t="shared" si="0"/>
        <v>INSERT INTO TOPICO (ID_TOPICO,NOMBRE_TOPICO) VALUES (40,SISTEMAS DE CONTROL DE VERSIONES);</v>
      </c>
    </row>
    <row r="43" spans="2:4" x14ac:dyDescent="0.25">
      <c r="B43" s="4">
        <v>41</v>
      </c>
      <c r="C43" s="4" t="s">
        <v>115</v>
      </c>
      <c r="D43" s="4" t="str">
        <f t="shared" si="0"/>
        <v>INSERT INTO TOPICO (ID_TOPICO,NOMBRE_TOPICO) VALUES (41,GESTION DE DEPENDENCIAS MAVEN);</v>
      </c>
    </row>
    <row r="44" spans="2:4" x14ac:dyDescent="0.25">
      <c r="B44" s="4">
        <v>42</v>
      </c>
      <c r="C44" s="4" t="s">
        <v>116</v>
      </c>
      <c r="D44" s="4" t="str">
        <f t="shared" si="0"/>
        <v>INSERT INTO TOPICO (ID_TOPICO,NOMBRE_TOPICO) VALUES (42,PRINCIPIOS SOLID);</v>
      </c>
    </row>
    <row r="45" spans="2:4" x14ac:dyDescent="0.25">
      <c r="B45" s="4">
        <v>43</v>
      </c>
      <c r="C45" s="4" t="s">
        <v>117</v>
      </c>
      <c r="D45" s="4" t="str">
        <f t="shared" si="0"/>
        <v>INSERT INTO TOPICO (ID_TOPICO,NOMBRE_TOPICO) VALUES (43,SINGELTON);</v>
      </c>
    </row>
    <row r="46" spans="2:4" x14ac:dyDescent="0.25">
      <c r="B46" s="4">
        <v>44</v>
      </c>
      <c r="C46" s="4" t="s">
        <v>118</v>
      </c>
      <c r="D46" s="4" t="str">
        <f t="shared" si="0"/>
        <v>INSERT INTO TOPICO (ID_TOPICO,NOMBRE_TOPICO) VALUES (44,FACTORY);</v>
      </c>
    </row>
    <row r="47" spans="2:4" x14ac:dyDescent="0.25">
      <c r="B47" s="4">
        <v>45</v>
      </c>
      <c r="C47" s="4" t="s">
        <v>119</v>
      </c>
      <c r="D47" s="4" t="str">
        <f t="shared" si="0"/>
        <v>INSERT INTO TOPICO (ID_TOPICO,NOMBRE_TOPICO) VALUES (45,STRATEGY);</v>
      </c>
    </row>
    <row r="48" spans="2:4" x14ac:dyDescent="0.25">
      <c r="B48" s="4">
        <v>46</v>
      </c>
      <c r="C48" s="4" t="s">
        <v>120</v>
      </c>
      <c r="D48" s="4" t="str">
        <f t="shared" si="0"/>
        <v>INSERT INTO TOPICO (ID_TOPICO,NOMBRE_TOPICO) VALUES (46,OBSERVER);</v>
      </c>
    </row>
    <row r="49" spans="2:4" x14ac:dyDescent="0.25">
      <c r="B49" s="4">
        <v>47</v>
      </c>
      <c r="C49" s="4" t="s">
        <v>121</v>
      </c>
      <c r="D49" s="4" t="str">
        <f t="shared" si="0"/>
        <v>INSERT INTO TOPICO (ID_TOPICO,NOMBRE_TOPICO) VALUES (47,MANTENIBILIDAD);</v>
      </c>
    </row>
    <row r="50" spans="2:4" x14ac:dyDescent="0.25">
      <c r="B50" s="4">
        <v>48</v>
      </c>
      <c r="C50" s="4" t="s">
        <v>122</v>
      </c>
      <c r="D50" s="4" t="str">
        <f t="shared" si="0"/>
        <v>INSERT INTO TOPICO (ID_TOPICO,NOMBRE_TOPICO) VALUES (48,ORGANIZACION);</v>
      </c>
    </row>
    <row r="51" spans="2:4" x14ac:dyDescent="0.25">
      <c r="B51" s="4">
        <v>49</v>
      </c>
      <c r="C51" s="4" t="s">
        <v>123</v>
      </c>
      <c r="D51" s="4" t="str">
        <f t="shared" si="0"/>
        <v>INSERT INTO TOPICO (ID_TOPICO,NOMBRE_TOPICO) VALUES (49,ESTRUCTURA DE CODIGO);</v>
      </c>
    </row>
    <row r="52" spans="2:4" x14ac:dyDescent="0.25">
      <c r="B52" s="4">
        <v>50</v>
      </c>
      <c r="C52" s="4" t="s">
        <v>124</v>
      </c>
      <c r="D52" s="4" t="str">
        <f t="shared" si="0"/>
        <v>INSERT INTO TOPICO (ID_TOPICO,NOMBRE_TOPICO) VALUES (50,LEGIBILIDAD);</v>
      </c>
    </row>
    <row r="53" spans="2:4" x14ac:dyDescent="0.25">
      <c r="B53" s="4">
        <v>51</v>
      </c>
      <c r="C53" s="4" t="s">
        <v>125</v>
      </c>
      <c r="D53" s="4" t="str">
        <f t="shared" si="0"/>
        <v>INSERT INTO TOPICO (ID_TOPICO,NOMBRE_TOPICO) VALUES (51,BUCLES);</v>
      </c>
    </row>
    <row r="54" spans="2:4" x14ac:dyDescent="0.25">
      <c r="B54" s="4">
        <v>52</v>
      </c>
      <c r="C54" s="4" t="s">
        <v>126</v>
      </c>
      <c r="D54" s="4" t="str">
        <f t="shared" si="0"/>
        <v>INSERT INTO TOPICO (ID_TOPICO,NOMBRE_TOPICO) VALUES (52,TIPOS DE DATOS);</v>
      </c>
    </row>
    <row r="55" spans="2:4" x14ac:dyDescent="0.25">
      <c r="B55" s="4">
        <v>53</v>
      </c>
      <c r="C55" s="4" t="s">
        <v>127</v>
      </c>
      <c r="D55" s="4" t="str">
        <f t="shared" si="0"/>
        <v>INSERT INTO TOPICO (ID_TOPICO,NOMBRE_TOPICO) VALUES (53,CURSORES);</v>
      </c>
    </row>
    <row r="56" spans="2:4" x14ac:dyDescent="0.25">
      <c r="B56" s="4">
        <v>54</v>
      </c>
      <c r="C56" s="4" t="s">
        <v>128</v>
      </c>
      <c r="D56" s="4" t="str">
        <f t="shared" si="0"/>
        <v>INSERT INTO TOPICO (ID_TOPICO,NOMBRE_TOPICO) VALUES (54,PRCEDIMIENTOS Y FUNCIONES);</v>
      </c>
    </row>
    <row r="57" spans="2:4" x14ac:dyDescent="0.25">
      <c r="B57" s="4">
        <v>55</v>
      </c>
      <c r="C57" s="4" t="s">
        <v>129</v>
      </c>
      <c r="D57" s="4" t="str">
        <f t="shared" si="0"/>
        <v>INSERT INTO TOPICO (ID_TOPICO,NOMBRE_TOPICO) VALUES (55,CONSULTAS);</v>
      </c>
    </row>
    <row r="58" spans="2:4" x14ac:dyDescent="0.25">
      <c r="B58" s="4">
        <v>56</v>
      </c>
      <c r="C58" s="4" t="s">
        <v>130</v>
      </c>
      <c r="D58" s="4" t="str">
        <f t="shared" si="0"/>
        <v>INSERT INTO TOPICO (ID_TOPICO,NOMBRE_TOPICO) VALUES (56,MANIPULACION DE TABLAS);</v>
      </c>
    </row>
    <row r="59" spans="2:4" x14ac:dyDescent="0.25">
      <c r="B59" s="4">
        <v>57</v>
      </c>
      <c r="C59" s="4" t="s">
        <v>131</v>
      </c>
      <c r="D59" s="4" t="str">
        <f t="shared" si="0"/>
        <v>INSERT INTO TOPICO (ID_TOPICO,NOMBRE_TOPICO) VALUES (57,CLAUSULAS);</v>
      </c>
    </row>
    <row r="60" spans="2:4" x14ac:dyDescent="0.25">
      <c r="B60" s="4">
        <v>58</v>
      </c>
      <c r="C60" s="4" t="s">
        <v>132</v>
      </c>
      <c r="D60" s="4" t="str">
        <f t="shared" si="0"/>
        <v>INSERT INTO TOPICO (ID_TOPICO,NOMBRE_TOPICO) VALUES (58,TRANSACCIONES Y CONTROL DE CONCURRENCIA);</v>
      </c>
    </row>
    <row r="61" spans="2:4" x14ac:dyDescent="0.25">
      <c r="B61" s="4">
        <v>59</v>
      </c>
      <c r="C61" s="4" t="s">
        <v>133</v>
      </c>
      <c r="D61" s="4" t="str">
        <f t="shared" si="0"/>
        <v>INSERT INTO TOPICO (ID_TOPICO,NOMBRE_TOPICO) VALUES (59,PAQUETES);</v>
      </c>
    </row>
    <row r="62" spans="2:4" x14ac:dyDescent="0.25">
      <c r="B62" s="4">
        <v>60</v>
      </c>
      <c r="C62" s="4" t="s">
        <v>134</v>
      </c>
      <c r="D62" s="4" t="str">
        <f t="shared" si="0"/>
        <v>INSERT INTO TOPICO (ID_TOPICO,NOMBRE_TOPICO) VALUES (60,TRIGGERS);</v>
      </c>
    </row>
    <row r="63" spans="2:4" x14ac:dyDescent="0.25">
      <c r="B63" s="4">
        <v>61</v>
      </c>
      <c r="C63" s="4" t="s">
        <v>135</v>
      </c>
      <c r="D63" s="4" t="str">
        <f t="shared" si="0"/>
        <v>INSERT INTO TOPICO (ID_TOPICO,NOMBRE_TOPICO) VALUES (61,MANEJO DE EVENTOS);</v>
      </c>
    </row>
    <row r="64" spans="2:4" x14ac:dyDescent="0.25">
      <c r="B64" s="4">
        <v>62</v>
      </c>
      <c r="C64" s="4" t="s">
        <v>136</v>
      </c>
      <c r="D64" s="4" t="str">
        <f t="shared" si="0"/>
        <v>INSERT INTO TOPICO (ID_TOPICO,NOMBRE_TOPICO) VALUES (62,CONSULTAS DINAMICAS);</v>
      </c>
    </row>
    <row r="65" spans="2:4" x14ac:dyDescent="0.25">
      <c r="B65" s="4">
        <v>63</v>
      </c>
      <c r="C65" s="4" t="s">
        <v>137</v>
      </c>
      <c r="D65" s="4" t="str">
        <f t="shared" si="0"/>
        <v>INSERT INTO TOPICO (ID_TOPICO,NOMBRE_TOPICO) VALUES (63,BUENAS PRACTICAS);</v>
      </c>
    </row>
    <row r="66" spans="2:4" x14ac:dyDescent="0.25">
      <c r="B66" s="4">
        <v>64</v>
      </c>
      <c r="C66" s="4" t="s">
        <v>138</v>
      </c>
      <c r="D66" s="4" t="str">
        <f t="shared" si="0"/>
        <v>INSERT INTO TOPICO (ID_TOPICO,NOMBRE_TOPICO) VALUES (64,DOM);</v>
      </c>
    </row>
    <row r="67" spans="2:4" x14ac:dyDescent="0.25">
      <c r="B67" s="4">
        <v>65</v>
      </c>
      <c r="C67" s="4" t="s">
        <v>139</v>
      </c>
      <c r="D67" s="4" t="str">
        <f t="shared" si="0"/>
        <v>INSERT INTO TOPICO (ID_TOPICO,NOMBRE_TOPICO) VALUES (65,EVENTOS);</v>
      </c>
    </row>
    <row r="68" spans="2:4" x14ac:dyDescent="0.25">
      <c r="B68" s="4">
        <v>66</v>
      </c>
      <c r="C68" s="4" t="s">
        <v>140</v>
      </c>
      <c r="D68" s="4" t="str">
        <f t="shared" ref="D68:D105" si="1">"INSERT INTO TOPICO (ID_TOPICO,NOMBRE_TOPICO) VALUES ("&amp;B68&amp;","&amp;C68&amp;");"</f>
        <v>INSERT INTO TOPICO (ID_TOPICO,NOMBRE_TOPICO) VALUES (66,FUNCIONES DE ORDEN SUPERIOR);</v>
      </c>
    </row>
    <row r="69" spans="2:4" x14ac:dyDescent="0.25">
      <c r="B69" s="4">
        <v>67</v>
      </c>
      <c r="C69" s="4" t="s">
        <v>141</v>
      </c>
      <c r="D69" s="4" t="str">
        <f t="shared" si="1"/>
        <v>INSERT INTO TOPICO (ID_TOPICO,NOMBRE_TOPICO) VALUES (67,DESTRUCTURACION);</v>
      </c>
    </row>
    <row r="70" spans="2:4" x14ac:dyDescent="0.25">
      <c r="B70" s="4">
        <v>68</v>
      </c>
      <c r="C70" s="4" t="s">
        <v>142</v>
      </c>
      <c r="D70" s="4" t="str">
        <f t="shared" si="1"/>
        <v>INSERT INTO TOPICO (ID_TOPICO,NOMBRE_TOPICO) VALUES (68,TEMPLATE LITERALS);</v>
      </c>
    </row>
    <row r="71" spans="2:4" x14ac:dyDescent="0.25">
      <c r="B71" s="4">
        <v>69</v>
      </c>
      <c r="C71" s="4" t="s">
        <v>143</v>
      </c>
      <c r="D71" s="4" t="str">
        <f t="shared" si="1"/>
        <v>INSERT INTO TOPICO (ID_TOPICO,NOMBRE_TOPICO) VALUES (69,SPREAD Y REST OPERATORS);</v>
      </c>
    </row>
    <row r="72" spans="2:4" x14ac:dyDescent="0.25">
      <c r="B72" s="4">
        <v>70</v>
      </c>
      <c r="C72" s="4" t="s">
        <v>144</v>
      </c>
      <c r="D72" s="4" t="str">
        <f t="shared" si="1"/>
        <v>INSERT INTO TOPICO (ID_TOPICO,NOMBRE_TOPICO) VALUES (70,SCOPE Y HOSTING);</v>
      </c>
    </row>
    <row r="73" spans="2:4" x14ac:dyDescent="0.25">
      <c r="B73" s="4">
        <v>71</v>
      </c>
      <c r="C73" s="4" t="s">
        <v>145</v>
      </c>
      <c r="D73" s="4" t="str">
        <f t="shared" si="1"/>
        <v>INSERT INTO TOPICO (ID_TOPICO,NOMBRE_TOPICO) VALUES (71,CLOSURES);</v>
      </c>
    </row>
    <row r="74" spans="2:4" x14ac:dyDescent="0.25">
      <c r="B74" s="4">
        <v>72</v>
      </c>
      <c r="C74" s="4" t="s">
        <v>146</v>
      </c>
      <c r="D74" s="4" t="str">
        <f t="shared" si="1"/>
        <v>INSERT INTO TOPICO (ID_TOPICO,NOMBRE_TOPICO) VALUES (72,CALLBACKS);</v>
      </c>
    </row>
    <row r="75" spans="2:4" x14ac:dyDescent="0.25">
      <c r="B75" s="4">
        <v>73</v>
      </c>
      <c r="C75" s="4" t="s">
        <v>147</v>
      </c>
      <c r="D75" s="4" t="str">
        <f t="shared" si="1"/>
        <v>INSERT INTO TOPICO (ID_TOPICO,NOMBRE_TOPICO) VALUES (73,JSON);</v>
      </c>
    </row>
    <row r="76" spans="2:4" x14ac:dyDescent="0.25">
      <c r="B76" s="4">
        <v>74</v>
      </c>
      <c r="C76" s="4" t="s">
        <v>148</v>
      </c>
      <c r="D76" s="4" t="str">
        <f t="shared" si="1"/>
        <v>INSERT INTO TOPICO (ID_TOPICO,NOMBRE_TOPICO) VALUES (74,FETCH API);</v>
      </c>
    </row>
    <row r="77" spans="2:4" x14ac:dyDescent="0.25">
      <c r="B77" s="4">
        <v>75</v>
      </c>
      <c r="C77" s="4" t="s">
        <v>149</v>
      </c>
      <c r="D77" s="4" t="str">
        <f t="shared" si="1"/>
        <v>INSERT INTO TOPICO (ID_TOPICO,NOMBRE_TOPICO) VALUES (75,PROMESAS);</v>
      </c>
    </row>
    <row r="78" spans="2:4" x14ac:dyDescent="0.25">
      <c r="B78" s="4">
        <v>76</v>
      </c>
      <c r="C78" s="4" t="s">
        <v>150</v>
      </c>
      <c r="D78" s="4" t="str">
        <f t="shared" si="1"/>
        <v>INSERT INTO TOPICO (ID_TOPICO,NOMBRE_TOPICO) VALUES (76,ASINCRONIA);</v>
      </c>
    </row>
    <row r="79" spans="2:4" x14ac:dyDescent="0.25">
      <c r="B79" s="4">
        <v>77</v>
      </c>
      <c r="C79" s="4" t="s">
        <v>151</v>
      </c>
      <c r="D79" s="4" t="str">
        <f t="shared" si="1"/>
        <v>INSERT INTO TOPICO (ID_TOPICO,NOMBRE_TOPICO) VALUES (77,MANIPULACION AVANZADA DEL DOM);</v>
      </c>
    </row>
    <row r="80" spans="2:4" x14ac:dyDescent="0.25">
      <c r="B80" s="4">
        <v>78</v>
      </c>
      <c r="C80" s="4" t="s">
        <v>152</v>
      </c>
      <c r="D80" s="4" t="str">
        <f t="shared" si="1"/>
        <v>INSERT INTO TOPICO (ID_TOPICO,NOMBRE_TOPICO) VALUES (78,EVENT LOOP);</v>
      </c>
    </row>
    <row r="81" spans="2:4" x14ac:dyDescent="0.25">
      <c r="B81" s="4">
        <v>79</v>
      </c>
      <c r="C81" s="4" t="s">
        <v>153</v>
      </c>
      <c r="D81" s="4" t="str">
        <f t="shared" si="1"/>
        <v>INSERT INTO TOPICO (ID_TOPICO,NOMBRE_TOPICO) VALUES (79,CALL STACK);</v>
      </c>
    </row>
    <row r="82" spans="2:4" x14ac:dyDescent="0.25">
      <c r="B82" s="4">
        <v>80</v>
      </c>
      <c r="C82" s="4" t="s">
        <v>154</v>
      </c>
      <c r="D82" s="4" t="str">
        <f t="shared" si="1"/>
        <v>INSERT INTO TOPICO (ID_TOPICO,NOMBRE_TOPICO) VALUES (80,WEB APIS);</v>
      </c>
    </row>
    <row r="83" spans="2:4" x14ac:dyDescent="0.25">
      <c r="B83" s="4">
        <v>81</v>
      </c>
      <c r="C83" s="4" t="s">
        <v>155</v>
      </c>
      <c r="D83" s="4" t="str">
        <f t="shared" si="1"/>
        <v>INSERT INTO TOPICO (ID_TOPICO,NOMBRE_TOPICO) VALUES (81,DEBOUNCE);</v>
      </c>
    </row>
    <row r="84" spans="2:4" x14ac:dyDescent="0.25">
      <c r="B84" s="4">
        <v>82</v>
      </c>
      <c r="C84" s="4" t="s">
        <v>156</v>
      </c>
      <c r="D84" s="4" t="str">
        <f t="shared" si="1"/>
        <v>INSERT INTO TOPICO (ID_TOPICO,NOMBRE_TOPICO) VALUES (82,THROTTLE);</v>
      </c>
    </row>
    <row r="85" spans="2:4" x14ac:dyDescent="0.25">
      <c r="B85" s="4">
        <v>83</v>
      </c>
      <c r="C85" s="4" t="s">
        <v>157</v>
      </c>
      <c r="D85" s="4" t="str">
        <f t="shared" si="1"/>
        <v>INSERT INTO TOPICO (ID_TOPICO,NOMBRE_TOPICO) VALUES (83,WEBSOCKETS);</v>
      </c>
    </row>
    <row r="86" spans="2:4" x14ac:dyDescent="0.25">
      <c r="B86" s="4">
        <v>84</v>
      </c>
      <c r="C86" s="4" t="s">
        <v>158</v>
      </c>
      <c r="D86" s="4" t="str">
        <f t="shared" si="1"/>
        <v>INSERT INTO TOPICO (ID_TOPICO,NOMBRE_TOPICO) VALUES (84,SERICE WORKERS);</v>
      </c>
    </row>
    <row r="87" spans="2:4" x14ac:dyDescent="0.25">
      <c r="B87" s="4">
        <v>85</v>
      </c>
      <c r="C87" s="4" t="s">
        <v>159</v>
      </c>
      <c r="D87" s="4" t="str">
        <f t="shared" si="1"/>
        <v>INSERT INTO TOPICO (ID_TOPICO,NOMBRE_TOPICO) VALUES (85,PWA PROGRESIVE WEB APPS);</v>
      </c>
    </row>
    <row r="88" spans="2:4" x14ac:dyDescent="0.25">
      <c r="B88" s="4">
        <v>86</v>
      </c>
      <c r="C88" s="4" t="s">
        <v>160</v>
      </c>
      <c r="D88" s="4" t="str">
        <f t="shared" si="1"/>
        <v>INSERT INTO TOPICO (ID_TOPICO,NOMBRE_TOPICO) VALUES (86,DEPENDENDIAS NPM);</v>
      </c>
    </row>
    <row r="89" spans="2:4" x14ac:dyDescent="0.25">
      <c r="B89" s="4">
        <v>87</v>
      </c>
      <c r="C89" s="4" t="s">
        <v>161</v>
      </c>
      <c r="D89" s="4" t="str">
        <f t="shared" si="1"/>
        <v>INSERT INTO TOPICO (ID_TOPICO,NOMBRE_TOPICO) VALUES (87,TESTING JEST);</v>
      </c>
    </row>
    <row r="90" spans="2:4" x14ac:dyDescent="0.25">
      <c r="B90" s="4">
        <v>88</v>
      </c>
      <c r="C90" s="4" t="s">
        <v>162</v>
      </c>
      <c r="D90" s="4" t="str">
        <f t="shared" si="1"/>
        <v>INSERT INTO TOPICO (ID_TOPICO,NOMBRE_TOPICO) VALUES (88,TESTING MOCHA);</v>
      </c>
    </row>
    <row r="91" spans="2:4" x14ac:dyDescent="0.25">
      <c r="B91" s="4">
        <v>89</v>
      </c>
      <c r="C91" s="4" t="s">
        <v>163</v>
      </c>
      <c r="D91" s="4" t="str">
        <f t="shared" si="1"/>
        <v>INSERT INTO TOPICO (ID_TOPICO,NOMBRE_TOPICO) VALUES (89,BUNDLERS);</v>
      </c>
    </row>
    <row r="92" spans="2:4" x14ac:dyDescent="0.25">
      <c r="B92" s="4">
        <v>90</v>
      </c>
      <c r="C92" s="4" t="s">
        <v>164</v>
      </c>
      <c r="D92" s="4" t="str">
        <f t="shared" si="1"/>
        <v>INSERT INTO TOPICO (ID_TOPICO,NOMBRE_TOPICO) VALUES (90,DDD DOMAIN DRIVEN DESIGN);</v>
      </c>
    </row>
    <row r="93" spans="2:4" x14ac:dyDescent="0.25">
      <c r="B93" s="4">
        <v>91</v>
      </c>
      <c r="C93" s="4" t="s">
        <v>165</v>
      </c>
      <c r="D93" s="4" t="str">
        <f t="shared" si="1"/>
        <v>INSERT INTO TOPICO (ID_TOPICO,NOMBRE_TOPICO) VALUES (91,ARQUITECTURA HEXAGONAL);</v>
      </c>
    </row>
    <row r="94" spans="2:4" x14ac:dyDescent="0.25">
      <c r="B94" s="4">
        <v>92</v>
      </c>
      <c r="C94" s="4" t="s">
        <v>166</v>
      </c>
      <c r="D94" s="4" t="str">
        <f t="shared" si="1"/>
        <v>INSERT INTO TOPICO (ID_TOPICO,NOMBRE_TOPICO) VALUES (92,FEIGN CLIENT);</v>
      </c>
    </row>
    <row r="95" spans="2:4" x14ac:dyDescent="0.25">
      <c r="B95" s="4">
        <v>93</v>
      </c>
      <c r="C95" s="4" t="s">
        <v>167</v>
      </c>
      <c r="D95" s="4" t="str">
        <f t="shared" si="1"/>
        <v>INSERT INTO TOPICO (ID_TOPICO,NOMBRE_TOPICO) VALUES (93,OPEN FEIGN);</v>
      </c>
    </row>
    <row r="96" spans="2:4" x14ac:dyDescent="0.25">
      <c r="B96" s="4">
        <v>94</v>
      </c>
      <c r="C96" s="4" t="s">
        <v>168</v>
      </c>
      <c r="D96" s="4" t="str">
        <f t="shared" si="1"/>
        <v>INSERT INTO TOPICO (ID_TOPICO,NOMBRE_TOPICO) VALUES (94,GRPC);</v>
      </c>
    </row>
    <row r="97" spans="2:4" x14ac:dyDescent="0.25">
      <c r="B97" s="4">
        <v>95</v>
      </c>
      <c r="C97" s="4" t="s">
        <v>169</v>
      </c>
      <c r="D97" s="4" t="str">
        <f t="shared" si="1"/>
        <v>INSERT INTO TOPICO (ID_TOPICO,NOMBRE_TOPICO) VALUES (95,MENSAJERIA ASINCRONIA);</v>
      </c>
    </row>
    <row r="98" spans="2:4" x14ac:dyDescent="0.25">
      <c r="B98" s="4">
        <v>96</v>
      </c>
      <c r="C98" s="4" t="s">
        <v>170</v>
      </c>
      <c r="D98" s="4" t="str">
        <f t="shared" si="1"/>
        <v>INSERT INTO TOPICO (ID_TOPICO,NOMBRE_TOPICO) VALUES (96,JWT);</v>
      </c>
    </row>
    <row r="99" spans="2:4" x14ac:dyDescent="0.25">
      <c r="B99" s="4">
        <v>97</v>
      </c>
      <c r="C99" s="4" t="s">
        <v>171</v>
      </c>
      <c r="D99" s="4" t="str">
        <f t="shared" si="1"/>
        <v>INSERT INTO TOPICO (ID_TOPICO,NOMBRE_TOPICO) VALUES (97,API GATEWAY);</v>
      </c>
    </row>
    <row r="100" spans="2:4" x14ac:dyDescent="0.25">
      <c r="B100" s="4">
        <v>98</v>
      </c>
      <c r="C100" s="4" t="s">
        <v>172</v>
      </c>
      <c r="D100" s="4" t="str">
        <f t="shared" si="1"/>
        <v>INSERT INTO TOPICO (ID_TOPICO,NOMBRE_TOPICO) VALUES (98,UNIT TEST);</v>
      </c>
    </row>
    <row r="101" spans="2:4" x14ac:dyDescent="0.25">
      <c r="B101" s="4">
        <v>99</v>
      </c>
      <c r="C101" s="4" t="s">
        <v>173</v>
      </c>
      <c r="D101" s="4" t="str">
        <f t="shared" si="1"/>
        <v>INSERT INTO TOPICO (ID_TOPICO,NOMBRE_TOPICO) VALUES (99,INTEGRATION TEST);</v>
      </c>
    </row>
    <row r="102" spans="2:4" x14ac:dyDescent="0.25">
      <c r="B102" s="4">
        <v>100</v>
      </c>
      <c r="C102" s="4" t="s">
        <v>174</v>
      </c>
      <c r="D102" s="4" t="str">
        <f t="shared" si="1"/>
        <v>INSERT INTO TOPICO (ID_TOPICO,NOMBRE_TOPICO) VALUES (100,SPRING BOOT);</v>
      </c>
    </row>
    <row r="103" spans="2:4" x14ac:dyDescent="0.25">
      <c r="B103" s="4">
        <v>101</v>
      </c>
      <c r="C103" s="4" t="s">
        <v>175</v>
      </c>
      <c r="D103" s="4" t="str">
        <f t="shared" si="1"/>
        <v>INSERT INTO TOPICO (ID_TOPICO,NOMBRE_TOPICO) VALUES (101,PROCEDIMIENTOS Y FUNCIONES);</v>
      </c>
    </row>
    <row r="104" spans="2:4" x14ac:dyDescent="0.25">
      <c r="B104" s="4">
        <v>102</v>
      </c>
      <c r="C104" s="4" t="s">
        <v>176</v>
      </c>
      <c r="D104" s="4" t="str">
        <f t="shared" si="1"/>
        <v>INSERT INTO TOPICO (ID_TOPICO,NOMBRE_TOPICO) VALUES (102,VISTAS MATERIALIZADAS);</v>
      </c>
    </row>
    <row r="105" spans="2:4" x14ac:dyDescent="0.25">
      <c r="B105" s="4">
        <v>103</v>
      </c>
      <c r="C105" s="4" t="s">
        <v>75</v>
      </c>
      <c r="D105" s="4" t="str">
        <f t="shared" si="1"/>
        <v>INSERT INTO TOPICO (ID_TOPICO,NOMBRE_TOPICO) VALUES (103,CIBERSEGURIDAD);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57CB-95CE-430B-B4AC-3A3EB1214B16}">
  <dimension ref="B2:G5"/>
  <sheetViews>
    <sheetView workbookViewId="0">
      <selection activeCell="B3" sqref="B3:B5"/>
    </sheetView>
  </sheetViews>
  <sheetFormatPr baseColWidth="10" defaultRowHeight="15" x14ac:dyDescent="0.25"/>
  <cols>
    <col min="2" max="2" width="20.140625" bestFit="1" customWidth="1"/>
    <col min="3" max="3" width="11.85546875" bestFit="1" customWidth="1"/>
    <col min="7" max="7" width="15.140625" bestFit="1" customWidth="1"/>
  </cols>
  <sheetData>
    <row r="2" spans="2:7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2:7" x14ac:dyDescent="0.25">
      <c r="B3" t="s">
        <v>18</v>
      </c>
      <c r="C3" t="s">
        <v>8</v>
      </c>
      <c r="D3" t="s">
        <v>9</v>
      </c>
      <c r="E3" t="s">
        <v>10</v>
      </c>
      <c r="G3" t="s">
        <v>12</v>
      </c>
    </row>
    <row r="4" spans="2:7" x14ac:dyDescent="0.25">
      <c r="B4" t="s">
        <v>52</v>
      </c>
      <c r="C4" t="s">
        <v>8</v>
      </c>
      <c r="D4" t="s">
        <v>9</v>
      </c>
    </row>
    <row r="5" spans="2:7" x14ac:dyDescent="0.25">
      <c r="B5" t="s">
        <v>56</v>
      </c>
      <c r="C5" t="s">
        <v>8</v>
      </c>
      <c r="D5" t="s">
        <v>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D137-C2A5-4870-B63A-7AEDA2B518BD}">
  <dimension ref="B2:E29"/>
  <sheetViews>
    <sheetView topLeftCell="A19" workbookViewId="0">
      <selection activeCell="E29" sqref="E29"/>
    </sheetView>
  </sheetViews>
  <sheetFormatPr baseColWidth="10" defaultRowHeight="15" x14ac:dyDescent="0.25"/>
  <cols>
    <col min="2" max="2" width="22.42578125" customWidth="1"/>
    <col min="3" max="3" width="14.7109375" customWidth="1"/>
    <col min="4" max="4" width="12.7109375" customWidth="1"/>
    <col min="5" max="5" width="90.28515625" bestFit="1" customWidth="1"/>
  </cols>
  <sheetData>
    <row r="2" spans="2:5" x14ac:dyDescent="0.25">
      <c r="B2" s="8" t="s">
        <v>18</v>
      </c>
      <c r="C2" s="8" t="s">
        <v>52</v>
      </c>
      <c r="D2" s="8" t="s">
        <v>56</v>
      </c>
      <c r="E2" s="9" t="s">
        <v>68</v>
      </c>
    </row>
    <row r="3" spans="2:5" x14ac:dyDescent="0.25">
      <c r="B3" s="5">
        <v>1</v>
      </c>
      <c r="C3" s="5">
        <v>1</v>
      </c>
      <c r="D3" s="5">
        <v>1</v>
      </c>
      <c r="E3" s="4" t="str">
        <f>"INSERT INTO SUBTEMA_TOPICO (ID_SUBTEMA_TOPICO,ID_SUBTEMA,ID_TOPICO) VALUES ("&amp;B3&amp;","&amp;C3&amp;","&amp;D3&amp;");"</f>
        <v>INSERT INTO SUBTEMA_TOPICO (ID_SUBTEMA_TOPICO,ID_SUBTEMA,ID_TOPICO) VALUES (1,1,1);</v>
      </c>
    </row>
    <row r="4" spans="2:5" x14ac:dyDescent="0.25">
      <c r="B4" s="5">
        <v>2</v>
      </c>
      <c r="C4" s="5">
        <v>2</v>
      </c>
      <c r="D4" s="5">
        <v>1</v>
      </c>
      <c r="E4" s="4" t="str">
        <f t="shared" ref="E4:E29" si="0">"INSERT INTO SUBTEMA_TOPICO (ID_SUBTEMA_TOPICO,ID_SUBTEMA,ID_TOPICO) VALUES ("&amp;B4&amp;","&amp;C4&amp;","&amp;D4&amp;");"</f>
        <v>INSERT INTO SUBTEMA_TOPICO (ID_SUBTEMA_TOPICO,ID_SUBTEMA,ID_TOPICO) VALUES (2,2,1);</v>
      </c>
    </row>
    <row r="5" spans="2:5" x14ac:dyDescent="0.25">
      <c r="B5" s="5">
        <v>3</v>
      </c>
      <c r="C5" s="5">
        <v>3</v>
      </c>
      <c r="D5" s="5">
        <v>1</v>
      </c>
      <c r="E5" s="4" t="str">
        <f t="shared" si="0"/>
        <v>INSERT INTO SUBTEMA_TOPICO (ID_SUBTEMA_TOPICO,ID_SUBTEMA,ID_TOPICO) VALUES (3,3,1);</v>
      </c>
    </row>
    <row r="6" spans="2:5" x14ac:dyDescent="0.25">
      <c r="B6" s="5">
        <v>4</v>
      </c>
      <c r="C6" s="5">
        <v>4</v>
      </c>
      <c r="D6" s="5">
        <v>2</v>
      </c>
      <c r="E6" s="4" t="str">
        <f t="shared" si="0"/>
        <v>INSERT INTO SUBTEMA_TOPICO (ID_SUBTEMA_TOPICO,ID_SUBTEMA,ID_TOPICO) VALUES (4,4,2);</v>
      </c>
    </row>
    <row r="7" spans="2:5" x14ac:dyDescent="0.25">
      <c r="B7" s="5">
        <v>5</v>
      </c>
      <c r="C7" s="5">
        <v>4</v>
      </c>
      <c r="D7" s="5">
        <v>3</v>
      </c>
      <c r="E7" s="4" t="str">
        <f t="shared" si="0"/>
        <v>INSERT INTO SUBTEMA_TOPICO (ID_SUBTEMA_TOPICO,ID_SUBTEMA,ID_TOPICO) VALUES (5,4,3);</v>
      </c>
    </row>
    <row r="8" spans="2:5" x14ac:dyDescent="0.25">
      <c r="B8" s="5">
        <v>6</v>
      </c>
      <c r="C8" s="5">
        <v>4</v>
      </c>
      <c r="D8" s="5">
        <v>5</v>
      </c>
      <c r="E8" s="4" t="str">
        <f t="shared" si="0"/>
        <v>INSERT INTO SUBTEMA_TOPICO (ID_SUBTEMA_TOPICO,ID_SUBTEMA,ID_TOPICO) VALUES (6,4,5);</v>
      </c>
    </row>
    <row r="9" spans="2:5" x14ac:dyDescent="0.25">
      <c r="B9" s="5">
        <v>7</v>
      </c>
      <c r="C9" s="5">
        <v>4</v>
      </c>
      <c r="D9" s="5">
        <v>4</v>
      </c>
      <c r="E9" s="4" t="str">
        <f t="shared" si="0"/>
        <v>INSERT INTO SUBTEMA_TOPICO (ID_SUBTEMA_TOPICO,ID_SUBTEMA,ID_TOPICO) VALUES (7,4,4);</v>
      </c>
    </row>
    <row r="10" spans="2:5" x14ac:dyDescent="0.25">
      <c r="B10" s="5">
        <v>8</v>
      </c>
      <c r="C10" s="5">
        <v>4</v>
      </c>
      <c r="D10" s="5">
        <v>6</v>
      </c>
      <c r="E10" s="4" t="str">
        <f t="shared" si="0"/>
        <v>INSERT INTO SUBTEMA_TOPICO (ID_SUBTEMA_TOPICO,ID_SUBTEMA,ID_TOPICO) VALUES (8,4,6);</v>
      </c>
    </row>
    <row r="11" spans="2:5" x14ac:dyDescent="0.25">
      <c r="B11" s="5">
        <v>9</v>
      </c>
      <c r="C11" s="5">
        <v>4</v>
      </c>
      <c r="D11" s="5">
        <v>7</v>
      </c>
      <c r="E11" s="4" t="str">
        <f t="shared" si="0"/>
        <v>INSERT INTO SUBTEMA_TOPICO (ID_SUBTEMA_TOPICO,ID_SUBTEMA,ID_TOPICO) VALUES (9,4,7);</v>
      </c>
    </row>
    <row r="12" spans="2:5" x14ac:dyDescent="0.25">
      <c r="B12" s="5">
        <v>10</v>
      </c>
      <c r="C12" s="5">
        <v>4</v>
      </c>
      <c r="D12" s="5">
        <v>8</v>
      </c>
      <c r="E12" s="4" t="str">
        <f t="shared" si="0"/>
        <v>INSERT INTO SUBTEMA_TOPICO (ID_SUBTEMA_TOPICO,ID_SUBTEMA,ID_TOPICO) VALUES (10,4,8);</v>
      </c>
    </row>
    <row r="13" spans="2:5" x14ac:dyDescent="0.25">
      <c r="B13" s="5">
        <v>11</v>
      </c>
      <c r="C13" s="5">
        <v>4</v>
      </c>
      <c r="D13" s="5">
        <v>9</v>
      </c>
      <c r="E13" s="4" t="str">
        <f t="shared" si="0"/>
        <v>INSERT INTO SUBTEMA_TOPICO (ID_SUBTEMA_TOPICO,ID_SUBTEMA,ID_TOPICO) VALUES (11,4,9);</v>
      </c>
    </row>
    <row r="14" spans="2:5" x14ac:dyDescent="0.25">
      <c r="B14" s="5">
        <v>12</v>
      </c>
      <c r="C14" s="5">
        <v>3</v>
      </c>
      <c r="D14" s="5">
        <v>102</v>
      </c>
      <c r="E14" s="4" t="str">
        <f t="shared" si="0"/>
        <v>INSERT INTO SUBTEMA_TOPICO (ID_SUBTEMA_TOPICO,ID_SUBTEMA,ID_TOPICO) VALUES (12,3,102);</v>
      </c>
    </row>
    <row r="15" spans="2:5" x14ac:dyDescent="0.25">
      <c r="B15" s="5">
        <v>13</v>
      </c>
      <c r="C15" s="5">
        <v>3</v>
      </c>
      <c r="D15" s="5">
        <v>62</v>
      </c>
      <c r="E15" s="4" t="str">
        <f t="shared" si="0"/>
        <v>INSERT INTO SUBTEMA_TOPICO (ID_SUBTEMA_TOPICO,ID_SUBTEMA,ID_TOPICO) VALUES (13,3,62);</v>
      </c>
    </row>
    <row r="16" spans="2:5" x14ac:dyDescent="0.25">
      <c r="B16" s="5">
        <v>14</v>
      </c>
      <c r="C16" s="5">
        <v>3</v>
      </c>
      <c r="D16" s="5">
        <v>16</v>
      </c>
      <c r="E16" s="4" t="str">
        <f t="shared" si="0"/>
        <v>INSERT INTO SUBTEMA_TOPICO (ID_SUBTEMA_TOPICO,ID_SUBTEMA,ID_TOPICO) VALUES (14,3,16);</v>
      </c>
    </row>
    <row r="17" spans="2:5" x14ac:dyDescent="0.25">
      <c r="B17" s="5">
        <v>15</v>
      </c>
      <c r="C17" s="5">
        <v>3</v>
      </c>
      <c r="D17" s="5">
        <v>61</v>
      </c>
      <c r="E17" s="4" t="str">
        <f t="shared" si="0"/>
        <v>INSERT INTO SUBTEMA_TOPICO (ID_SUBTEMA_TOPICO,ID_SUBTEMA,ID_TOPICO) VALUES (15,3,61);</v>
      </c>
    </row>
    <row r="18" spans="2:5" x14ac:dyDescent="0.25">
      <c r="B18" s="5">
        <v>16</v>
      </c>
      <c r="C18" s="5">
        <v>3</v>
      </c>
      <c r="D18" s="5">
        <v>60</v>
      </c>
      <c r="E18" s="4" t="str">
        <f t="shared" si="0"/>
        <v>INSERT INTO SUBTEMA_TOPICO (ID_SUBTEMA_TOPICO,ID_SUBTEMA,ID_TOPICO) VALUES (16,3,60);</v>
      </c>
    </row>
    <row r="19" spans="2:5" x14ac:dyDescent="0.25">
      <c r="B19" s="5">
        <v>17</v>
      </c>
      <c r="C19" s="5">
        <v>3</v>
      </c>
      <c r="D19" s="5">
        <v>59</v>
      </c>
      <c r="E19" s="4" t="str">
        <f t="shared" si="0"/>
        <v>INSERT INTO SUBTEMA_TOPICO (ID_SUBTEMA_TOPICO,ID_SUBTEMA,ID_TOPICO) VALUES (17,3,59);</v>
      </c>
    </row>
    <row r="20" spans="2:5" x14ac:dyDescent="0.25">
      <c r="B20" s="5">
        <v>18</v>
      </c>
      <c r="C20" s="5">
        <v>3</v>
      </c>
      <c r="D20" s="5">
        <v>58</v>
      </c>
      <c r="E20" s="4" t="str">
        <f t="shared" si="0"/>
        <v>INSERT INTO SUBTEMA_TOPICO (ID_SUBTEMA_TOPICO,ID_SUBTEMA,ID_TOPICO) VALUES (18,3,58);</v>
      </c>
    </row>
    <row r="21" spans="2:5" x14ac:dyDescent="0.25">
      <c r="B21" s="5">
        <v>19</v>
      </c>
      <c r="C21" s="5">
        <v>3</v>
      </c>
      <c r="D21" s="5">
        <v>57</v>
      </c>
      <c r="E21" s="4" t="str">
        <f t="shared" si="0"/>
        <v>INSERT INTO SUBTEMA_TOPICO (ID_SUBTEMA_TOPICO,ID_SUBTEMA,ID_TOPICO) VALUES (19,3,57);</v>
      </c>
    </row>
    <row r="22" spans="2:5" x14ac:dyDescent="0.25">
      <c r="B22" s="5">
        <v>20</v>
      </c>
      <c r="C22" s="5">
        <v>3</v>
      </c>
      <c r="D22" s="5">
        <v>56</v>
      </c>
      <c r="E22" s="4" t="str">
        <f t="shared" si="0"/>
        <v>INSERT INTO SUBTEMA_TOPICO (ID_SUBTEMA_TOPICO,ID_SUBTEMA,ID_TOPICO) VALUES (20,3,56);</v>
      </c>
    </row>
    <row r="23" spans="2:5" x14ac:dyDescent="0.25">
      <c r="B23" s="5">
        <v>21</v>
      </c>
      <c r="C23" s="5">
        <v>3</v>
      </c>
      <c r="D23" s="5">
        <v>55</v>
      </c>
      <c r="E23" s="4" t="str">
        <f t="shared" si="0"/>
        <v>INSERT INTO SUBTEMA_TOPICO (ID_SUBTEMA_TOPICO,ID_SUBTEMA,ID_TOPICO) VALUES (21,3,55);</v>
      </c>
    </row>
    <row r="24" spans="2:5" x14ac:dyDescent="0.25">
      <c r="B24" s="5">
        <v>22</v>
      </c>
      <c r="C24" s="5">
        <v>3</v>
      </c>
      <c r="D24" s="5">
        <v>101</v>
      </c>
      <c r="E24" s="4" t="str">
        <f t="shared" si="0"/>
        <v>INSERT INTO SUBTEMA_TOPICO (ID_SUBTEMA_TOPICO,ID_SUBTEMA,ID_TOPICO) VALUES (22,3,101);</v>
      </c>
    </row>
    <row r="25" spans="2:5" x14ac:dyDescent="0.25">
      <c r="B25" s="5">
        <v>23</v>
      </c>
      <c r="C25" s="5">
        <v>3</v>
      </c>
      <c r="D25" s="5">
        <v>53</v>
      </c>
      <c r="E25" s="4" t="str">
        <f t="shared" si="0"/>
        <v>INSERT INTO SUBTEMA_TOPICO (ID_SUBTEMA_TOPICO,ID_SUBTEMA,ID_TOPICO) VALUES (23,3,53);</v>
      </c>
    </row>
    <row r="26" spans="2:5" x14ac:dyDescent="0.25">
      <c r="B26" s="5">
        <v>24</v>
      </c>
      <c r="C26" s="5">
        <v>3</v>
      </c>
      <c r="D26" s="5">
        <v>11</v>
      </c>
      <c r="E26" s="4" t="str">
        <f t="shared" si="0"/>
        <v>INSERT INTO SUBTEMA_TOPICO (ID_SUBTEMA_TOPICO,ID_SUBTEMA,ID_TOPICO) VALUES (24,3,11);</v>
      </c>
    </row>
    <row r="27" spans="2:5" x14ac:dyDescent="0.25">
      <c r="B27" s="5">
        <v>25</v>
      </c>
      <c r="C27" s="5">
        <v>3</v>
      </c>
      <c r="D27" s="5">
        <v>51</v>
      </c>
      <c r="E27" s="4" t="str">
        <f t="shared" si="0"/>
        <v>INSERT INTO SUBTEMA_TOPICO (ID_SUBTEMA_TOPICO,ID_SUBTEMA,ID_TOPICO) VALUES (25,3,51);</v>
      </c>
    </row>
    <row r="28" spans="2:5" x14ac:dyDescent="0.25">
      <c r="B28" s="5">
        <v>26</v>
      </c>
      <c r="C28" s="5">
        <v>3</v>
      </c>
      <c r="D28" s="5">
        <v>12</v>
      </c>
      <c r="E28" s="4" t="str">
        <f t="shared" si="0"/>
        <v>INSERT INTO SUBTEMA_TOPICO (ID_SUBTEMA_TOPICO,ID_SUBTEMA,ID_TOPICO) VALUES (26,3,12);</v>
      </c>
    </row>
    <row r="29" spans="2:5" x14ac:dyDescent="0.25">
      <c r="B29" s="5">
        <v>27</v>
      </c>
      <c r="C29" s="5">
        <v>5</v>
      </c>
      <c r="D29" s="5">
        <v>103</v>
      </c>
      <c r="E29" s="4" t="str">
        <f t="shared" si="0"/>
        <v>INSERT INTO SUBTEMA_TOPICO (ID_SUBTEMA_TOPICO,ID_SUBTEMA,ID_TOPICO) VALUES (27,5,103);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0C8B-1077-42C7-B1EF-9793883F67FD}">
  <dimension ref="B2:G4"/>
  <sheetViews>
    <sheetView workbookViewId="0">
      <selection activeCell="B3" sqref="B3:B4"/>
    </sheetView>
  </sheetViews>
  <sheetFormatPr baseColWidth="10" defaultRowHeight="15" x14ac:dyDescent="0.25"/>
  <sheetData>
    <row r="2" spans="2:7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2:7" x14ac:dyDescent="0.25">
      <c r="B3" t="s">
        <v>53</v>
      </c>
      <c r="C3" t="s">
        <v>8</v>
      </c>
      <c r="D3" t="s">
        <v>9</v>
      </c>
      <c r="E3" t="s">
        <v>10</v>
      </c>
      <c r="G3" t="s">
        <v>12</v>
      </c>
    </row>
    <row r="4" spans="2:7" x14ac:dyDescent="0.25">
      <c r="B4" t="s">
        <v>57</v>
      </c>
      <c r="C4" t="s">
        <v>13</v>
      </c>
      <c r="D4" t="s">
        <v>9</v>
      </c>
      <c r="E4" t="s">
        <v>21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F5A5-B7E0-43D9-8D99-B12D03CA6B31}">
  <dimension ref="B2:D3"/>
  <sheetViews>
    <sheetView workbookViewId="0">
      <selection activeCell="D9" sqref="D9"/>
    </sheetView>
  </sheetViews>
  <sheetFormatPr baseColWidth="10" defaultRowHeight="15" x14ac:dyDescent="0.25"/>
  <cols>
    <col min="3" max="3" width="17.28515625" customWidth="1"/>
    <col min="4" max="4" width="72" bestFit="1" customWidth="1"/>
  </cols>
  <sheetData>
    <row r="2" spans="2:4" x14ac:dyDescent="0.25">
      <c r="B2" s="3" t="s">
        <v>53</v>
      </c>
      <c r="C2" s="3" t="s">
        <v>57</v>
      </c>
      <c r="D2" s="4" t="s">
        <v>68</v>
      </c>
    </row>
    <row r="3" spans="2:4" x14ac:dyDescent="0.25">
      <c r="B3" s="4">
        <v>1</v>
      </c>
      <c r="C3" s="4" t="s">
        <v>177</v>
      </c>
      <c r="D3" s="4" t="str">
        <f>"INSERT INTO TEMA (ID_TEMA,NOMBRE_TEMA) VALUES ("&amp;B3&amp;","&amp;C3&amp;");"</f>
        <v>INSERT INTO TEMA (ID_TEMA,NOMBRE_TEMA) VALUES (1,INFORMATICA);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B3E1-CDA9-4373-B79A-F9350C4E56E3}">
  <dimension ref="B2:G32"/>
  <sheetViews>
    <sheetView topLeftCell="A3" workbookViewId="0">
      <selection activeCell="B3" sqref="B3:B32"/>
    </sheetView>
  </sheetViews>
  <sheetFormatPr baseColWidth="10" defaultRowHeight="15" x14ac:dyDescent="0.25"/>
  <cols>
    <col min="2" max="2" width="18" bestFit="1" customWidth="1"/>
    <col min="3" max="3" width="12.42578125" bestFit="1" customWidth="1"/>
    <col min="7" max="7" width="15.140625" bestFit="1" customWidth="1"/>
  </cols>
  <sheetData>
    <row r="2" spans="2:7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2:7" x14ac:dyDescent="0.25">
      <c r="B3" t="s">
        <v>17</v>
      </c>
      <c r="C3" t="s">
        <v>8</v>
      </c>
      <c r="D3" t="s">
        <v>9</v>
      </c>
      <c r="E3" t="s">
        <v>10</v>
      </c>
      <c r="G3" t="s">
        <v>12</v>
      </c>
    </row>
    <row r="4" spans="2:7" x14ac:dyDescent="0.25">
      <c r="B4" t="s">
        <v>18</v>
      </c>
      <c r="C4" t="s">
        <v>8</v>
      </c>
      <c r="D4" t="s">
        <v>9</v>
      </c>
    </row>
    <row r="5" spans="2:7" x14ac:dyDescent="0.25">
      <c r="B5" t="s">
        <v>15</v>
      </c>
      <c r="C5" t="s">
        <v>8</v>
      </c>
      <c r="D5" t="s">
        <v>9</v>
      </c>
    </row>
    <row r="6" spans="2:7" x14ac:dyDescent="0.25">
      <c r="B6" t="s">
        <v>19</v>
      </c>
      <c r="C6" t="s">
        <v>20</v>
      </c>
      <c r="D6" t="s">
        <v>9</v>
      </c>
    </row>
    <row r="7" spans="2:7" x14ac:dyDescent="0.25">
      <c r="B7" t="s">
        <v>22</v>
      </c>
      <c r="C7" t="s">
        <v>20</v>
      </c>
      <c r="D7" t="s">
        <v>14</v>
      </c>
    </row>
    <row r="8" spans="2:7" x14ac:dyDescent="0.25">
      <c r="B8" t="s">
        <v>35</v>
      </c>
      <c r="C8" t="s">
        <v>20</v>
      </c>
      <c r="D8" t="s">
        <v>9</v>
      </c>
    </row>
    <row r="9" spans="2:7" x14ac:dyDescent="0.25">
      <c r="B9" t="s">
        <v>23</v>
      </c>
      <c r="C9" t="s">
        <v>20</v>
      </c>
      <c r="D9" t="s">
        <v>9</v>
      </c>
    </row>
    <row r="10" spans="2:7" x14ac:dyDescent="0.25">
      <c r="B10" t="s">
        <v>24</v>
      </c>
      <c r="C10" t="s">
        <v>20</v>
      </c>
      <c r="D10" t="s">
        <v>14</v>
      </c>
    </row>
    <row r="11" spans="2:7" x14ac:dyDescent="0.25">
      <c r="B11" t="s">
        <v>25</v>
      </c>
      <c r="C11" t="s">
        <v>20</v>
      </c>
      <c r="D11" t="s">
        <v>14</v>
      </c>
    </row>
    <row r="12" spans="2:7" x14ac:dyDescent="0.25">
      <c r="B12" t="s">
        <v>42</v>
      </c>
      <c r="C12" t="s">
        <v>20</v>
      </c>
      <c r="D12" t="s">
        <v>14</v>
      </c>
    </row>
    <row r="13" spans="2:7" x14ac:dyDescent="0.25">
      <c r="B13" t="s">
        <v>44</v>
      </c>
      <c r="C13" t="s">
        <v>20</v>
      </c>
      <c r="D13" t="s">
        <v>14</v>
      </c>
    </row>
    <row r="14" spans="2:7" x14ac:dyDescent="0.25">
      <c r="B14" t="s">
        <v>46</v>
      </c>
      <c r="C14" t="s">
        <v>20</v>
      </c>
      <c r="D14" t="s">
        <v>14</v>
      </c>
    </row>
    <row r="15" spans="2:7" x14ac:dyDescent="0.25">
      <c r="B15" t="s">
        <v>48</v>
      </c>
      <c r="C15" t="s">
        <v>20</v>
      </c>
      <c r="D15" t="s">
        <v>14</v>
      </c>
    </row>
    <row r="16" spans="2:7" x14ac:dyDescent="0.25">
      <c r="B16" t="s">
        <v>50</v>
      </c>
      <c r="C16" t="s">
        <v>20</v>
      </c>
      <c r="D16" t="s">
        <v>14</v>
      </c>
    </row>
    <row r="17" spans="2:4" x14ac:dyDescent="0.25">
      <c r="B17" t="s">
        <v>26</v>
      </c>
      <c r="C17" t="s">
        <v>27</v>
      </c>
      <c r="D17" t="s">
        <v>14</v>
      </c>
    </row>
    <row r="18" spans="2:4" x14ac:dyDescent="0.25">
      <c r="B18" t="s">
        <v>28</v>
      </c>
      <c r="C18" t="s">
        <v>29</v>
      </c>
      <c r="D18" t="s">
        <v>14</v>
      </c>
    </row>
    <row r="19" spans="2:4" x14ac:dyDescent="0.25">
      <c r="B19" t="s">
        <v>30</v>
      </c>
      <c r="C19" t="s">
        <v>31</v>
      </c>
      <c r="D19" t="s">
        <v>14</v>
      </c>
    </row>
    <row r="20" spans="2:4" x14ac:dyDescent="0.25">
      <c r="B20" t="s">
        <v>32</v>
      </c>
      <c r="C20" t="s">
        <v>8</v>
      </c>
      <c r="D20" t="s">
        <v>14</v>
      </c>
    </row>
    <row r="21" spans="2:4" x14ac:dyDescent="0.25">
      <c r="B21" t="s">
        <v>0</v>
      </c>
      <c r="C21" t="s">
        <v>8</v>
      </c>
      <c r="D21" t="s">
        <v>14</v>
      </c>
    </row>
    <row r="22" spans="2:4" x14ac:dyDescent="0.25">
      <c r="B22" t="s">
        <v>33</v>
      </c>
      <c r="C22" t="s">
        <v>34</v>
      </c>
      <c r="D22" t="s">
        <v>14</v>
      </c>
    </row>
    <row r="23" spans="2:4" x14ac:dyDescent="0.25">
      <c r="B23" t="s">
        <v>36</v>
      </c>
      <c r="C23" t="s">
        <v>37</v>
      </c>
      <c r="D23" t="s">
        <v>14</v>
      </c>
    </row>
    <row r="24" spans="2:4" x14ac:dyDescent="0.25">
      <c r="B24" t="s">
        <v>38</v>
      </c>
      <c r="C24" t="s">
        <v>37</v>
      </c>
      <c r="D24" t="s">
        <v>14</v>
      </c>
    </row>
    <row r="25" spans="2:4" x14ac:dyDescent="0.25">
      <c r="B25" t="s">
        <v>39</v>
      </c>
      <c r="C25" t="s">
        <v>37</v>
      </c>
      <c r="D25" t="s">
        <v>14</v>
      </c>
    </row>
    <row r="26" spans="2:4" x14ac:dyDescent="0.25">
      <c r="B26" t="s">
        <v>40</v>
      </c>
      <c r="C26" t="s">
        <v>37</v>
      </c>
      <c r="D26" t="s">
        <v>14</v>
      </c>
    </row>
    <row r="27" spans="2:4" x14ac:dyDescent="0.25">
      <c r="B27" t="s">
        <v>43</v>
      </c>
      <c r="C27" t="s">
        <v>37</v>
      </c>
      <c r="D27" t="s">
        <v>14</v>
      </c>
    </row>
    <row r="28" spans="2:4" x14ac:dyDescent="0.25">
      <c r="B28" t="s">
        <v>45</v>
      </c>
      <c r="C28" t="s">
        <v>37</v>
      </c>
      <c r="D28" t="s">
        <v>14</v>
      </c>
    </row>
    <row r="29" spans="2:4" x14ac:dyDescent="0.25">
      <c r="B29" t="s">
        <v>47</v>
      </c>
      <c r="C29" t="s">
        <v>37</v>
      </c>
      <c r="D29" t="s">
        <v>14</v>
      </c>
    </row>
    <row r="30" spans="2:4" x14ac:dyDescent="0.25">
      <c r="B30" t="s">
        <v>49</v>
      </c>
      <c r="C30" t="s">
        <v>37</v>
      </c>
      <c r="D30" t="s">
        <v>14</v>
      </c>
    </row>
    <row r="31" spans="2:4" x14ac:dyDescent="0.25">
      <c r="B31" t="s">
        <v>51</v>
      </c>
      <c r="C31" t="s">
        <v>37</v>
      </c>
      <c r="D31" t="s">
        <v>14</v>
      </c>
    </row>
    <row r="32" spans="2:4" x14ac:dyDescent="0.25">
      <c r="B32" t="s">
        <v>41</v>
      </c>
      <c r="C32" t="s">
        <v>37</v>
      </c>
      <c r="D32" t="s">
        <v>14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479B-89B0-44F7-BD16-1E0598032A9E}">
  <dimension ref="B2:AE390"/>
  <sheetViews>
    <sheetView tabSelected="1" zoomScale="55" zoomScaleNormal="55" workbookViewId="0">
      <selection activeCell="E150" sqref="E150"/>
    </sheetView>
  </sheetViews>
  <sheetFormatPr baseColWidth="10" defaultRowHeight="15" x14ac:dyDescent="0.25"/>
  <cols>
    <col min="2" max="2" width="15.85546875" customWidth="1"/>
    <col min="3" max="3" width="22.42578125" customWidth="1"/>
    <col min="4" max="4" width="13" customWidth="1"/>
    <col min="5" max="5" width="130.5703125" bestFit="1" customWidth="1"/>
    <col min="6" max="6" width="17.140625" customWidth="1"/>
    <col min="7" max="7" width="15.42578125" customWidth="1"/>
    <col min="8" max="9" width="15.28515625" customWidth="1"/>
    <col min="10" max="12" width="15.140625" customWidth="1"/>
    <col min="13" max="13" width="15.5703125" customWidth="1"/>
    <col min="14" max="14" width="15.42578125" customWidth="1"/>
    <col min="15" max="15" width="14.7109375" customWidth="1"/>
    <col min="16" max="16" width="23.42578125" customWidth="1"/>
    <col min="17" max="17" width="14.85546875" customWidth="1"/>
    <col min="18" max="18" width="21.5703125" customWidth="1"/>
    <col min="20" max="20" width="14.140625" customWidth="1"/>
    <col min="22" max="22" width="18.28515625" customWidth="1"/>
    <col min="23" max="24" width="18.140625" customWidth="1"/>
    <col min="25" max="25" width="18.28515625" customWidth="1"/>
    <col min="26" max="27" width="18" customWidth="1"/>
    <col min="28" max="28" width="18.42578125" customWidth="1"/>
    <col min="29" max="29" width="18.28515625" customWidth="1"/>
    <col min="30" max="30" width="17.5703125" customWidth="1"/>
    <col min="31" max="31" width="18.85546875" customWidth="1"/>
  </cols>
  <sheetData>
    <row r="2" spans="2:31" x14ac:dyDescent="0.25">
      <c r="B2" s="8" t="s">
        <v>17</v>
      </c>
      <c r="C2" s="8" t="s">
        <v>18</v>
      </c>
      <c r="D2" s="8" t="s">
        <v>15</v>
      </c>
      <c r="E2" s="8" t="s">
        <v>19</v>
      </c>
      <c r="F2" s="8" t="s">
        <v>22</v>
      </c>
      <c r="G2" s="8" t="s">
        <v>35</v>
      </c>
      <c r="H2" s="8" t="s">
        <v>23</v>
      </c>
      <c r="I2" s="8" t="s">
        <v>24</v>
      </c>
      <c r="J2" s="8" t="s">
        <v>25</v>
      </c>
      <c r="K2" s="8" t="s">
        <v>42</v>
      </c>
      <c r="L2" s="8" t="s">
        <v>44</v>
      </c>
      <c r="M2" s="8" t="s">
        <v>46</v>
      </c>
      <c r="N2" s="8" t="s">
        <v>48</v>
      </c>
      <c r="O2" s="8" t="s">
        <v>50</v>
      </c>
      <c r="P2" s="8" t="s">
        <v>26</v>
      </c>
      <c r="Q2" s="8" t="s">
        <v>28</v>
      </c>
      <c r="R2" s="8" t="s">
        <v>30</v>
      </c>
      <c r="S2" s="8" t="s">
        <v>32</v>
      </c>
      <c r="T2" s="8" t="s">
        <v>0</v>
      </c>
      <c r="U2" s="8" t="s">
        <v>33</v>
      </c>
      <c r="V2" s="8" t="s">
        <v>36</v>
      </c>
      <c r="W2" s="8" t="s">
        <v>38</v>
      </c>
      <c r="X2" s="8" t="s">
        <v>39</v>
      </c>
      <c r="Y2" s="8" t="s">
        <v>40</v>
      </c>
      <c r="Z2" s="8" t="s">
        <v>43</v>
      </c>
      <c r="AA2" s="8" t="s">
        <v>45</v>
      </c>
      <c r="AB2" s="8" t="s">
        <v>47</v>
      </c>
      <c r="AC2" s="8" t="s">
        <v>49</v>
      </c>
      <c r="AD2" s="8" t="s">
        <v>51</v>
      </c>
      <c r="AE2" s="8" t="s">
        <v>41</v>
      </c>
    </row>
    <row r="3" spans="2:31" x14ac:dyDescent="0.25">
      <c r="B3" s="4">
        <v>1</v>
      </c>
      <c r="C3" s="4">
        <v>1</v>
      </c>
      <c r="D3" s="4">
        <v>1</v>
      </c>
      <c r="E3" s="4" t="s">
        <v>178</v>
      </c>
      <c r="F3" s="4"/>
      <c r="G3" s="35" t="s">
        <v>179</v>
      </c>
      <c r="H3" s="35" t="s">
        <v>180</v>
      </c>
      <c r="I3" s="35" t="s">
        <v>181</v>
      </c>
      <c r="J3" s="35" t="s">
        <v>182</v>
      </c>
      <c r="K3" s="4"/>
      <c r="L3" s="4"/>
      <c r="M3" s="4"/>
      <c r="N3" s="4"/>
      <c r="O3" s="4"/>
      <c r="P3" s="4" t="s">
        <v>183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2:31" x14ac:dyDescent="0.25">
      <c r="B4" s="4">
        <v>2</v>
      </c>
      <c r="C4" s="4">
        <v>1</v>
      </c>
      <c r="D4" s="4">
        <v>1</v>
      </c>
      <c r="E4" s="4" t="s">
        <v>184</v>
      </c>
      <c r="F4" s="4"/>
      <c r="G4" s="35" t="s">
        <v>185</v>
      </c>
      <c r="H4" s="35" t="s">
        <v>186</v>
      </c>
      <c r="I4" s="35" t="s">
        <v>187</v>
      </c>
      <c r="J4" s="35" t="s">
        <v>188</v>
      </c>
      <c r="K4" s="4"/>
      <c r="L4" s="4"/>
      <c r="M4" s="4"/>
      <c r="N4" s="4"/>
      <c r="O4" s="4"/>
      <c r="P4" s="4" t="s">
        <v>189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2:31" x14ac:dyDescent="0.25">
      <c r="B5" s="4">
        <v>3</v>
      </c>
      <c r="C5" s="4">
        <v>1</v>
      </c>
      <c r="D5" s="4">
        <v>1</v>
      </c>
      <c r="E5" s="4" t="s">
        <v>190</v>
      </c>
      <c r="F5" s="4"/>
      <c r="G5" s="35" t="s">
        <v>191</v>
      </c>
      <c r="H5" s="35" t="s">
        <v>192</v>
      </c>
      <c r="I5" s="35" t="s">
        <v>193</v>
      </c>
      <c r="J5" s="35" t="s">
        <v>194</v>
      </c>
      <c r="K5" s="4"/>
      <c r="L5" s="4"/>
      <c r="M5" s="4"/>
      <c r="N5" s="4"/>
      <c r="O5" s="4"/>
      <c r="P5" s="4" t="s">
        <v>183</v>
      </c>
      <c r="Q5" s="4" t="s">
        <v>195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2:31" x14ac:dyDescent="0.25">
      <c r="B6" s="4">
        <v>4</v>
      </c>
      <c r="C6" s="4">
        <v>1</v>
      </c>
      <c r="D6" s="4">
        <v>1</v>
      </c>
      <c r="E6" s="4" t="s">
        <v>196</v>
      </c>
      <c r="F6" s="4"/>
      <c r="G6" s="35" t="s">
        <v>197</v>
      </c>
      <c r="H6" s="35" t="s">
        <v>198</v>
      </c>
      <c r="I6" s="35" t="s">
        <v>199</v>
      </c>
      <c r="J6" s="35" t="s">
        <v>200</v>
      </c>
      <c r="K6" s="4"/>
      <c r="L6" s="4"/>
      <c r="M6" s="4"/>
      <c r="N6" s="4"/>
      <c r="O6" s="4"/>
      <c r="P6" s="4" t="s">
        <v>183</v>
      </c>
      <c r="Q6" s="4" t="s">
        <v>201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2:31" x14ac:dyDescent="0.25">
      <c r="B7" s="4">
        <v>5</v>
      </c>
      <c r="C7" s="4">
        <v>1</v>
      </c>
      <c r="D7" s="4">
        <v>1</v>
      </c>
      <c r="E7" s="4" t="s">
        <v>202</v>
      </c>
      <c r="F7" s="4"/>
      <c r="G7" s="35" t="s">
        <v>203</v>
      </c>
      <c r="H7" s="35" t="s">
        <v>204</v>
      </c>
      <c r="I7" s="35" t="s">
        <v>205</v>
      </c>
      <c r="J7" s="35" t="s">
        <v>206</v>
      </c>
      <c r="K7" s="4"/>
      <c r="L7" s="4"/>
      <c r="M7" s="4"/>
      <c r="N7" s="4"/>
      <c r="O7" s="4"/>
      <c r="P7" s="4" t="s">
        <v>207</v>
      </c>
      <c r="Q7" s="4" t="s">
        <v>208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2:31" x14ac:dyDescent="0.25">
      <c r="B8" s="4">
        <v>6</v>
      </c>
      <c r="C8" s="4">
        <v>1</v>
      </c>
      <c r="D8" s="4">
        <v>1</v>
      </c>
      <c r="E8" s="4" t="s">
        <v>209</v>
      </c>
      <c r="F8" s="4"/>
      <c r="G8" s="35" t="s">
        <v>210</v>
      </c>
      <c r="H8" s="35" t="s">
        <v>211</v>
      </c>
      <c r="I8" s="35" t="s">
        <v>212</v>
      </c>
      <c r="J8" s="35" t="s">
        <v>213</v>
      </c>
      <c r="K8" s="4"/>
      <c r="L8" s="4"/>
      <c r="M8" s="4"/>
      <c r="N8" s="4"/>
      <c r="O8" s="4"/>
      <c r="P8" s="4" t="s">
        <v>183</v>
      </c>
      <c r="Q8" s="4" t="s">
        <v>214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2:31" x14ac:dyDescent="0.25">
      <c r="B9" s="4">
        <v>7</v>
      </c>
      <c r="C9" s="4">
        <v>1</v>
      </c>
      <c r="D9" s="4">
        <v>1</v>
      </c>
      <c r="E9" s="4" t="s">
        <v>215</v>
      </c>
      <c r="F9" s="4"/>
      <c r="G9" s="35" t="s">
        <v>216</v>
      </c>
      <c r="H9" s="35" t="s">
        <v>217</v>
      </c>
      <c r="I9" s="35" t="s">
        <v>218</v>
      </c>
      <c r="J9" s="35" t="s">
        <v>219</v>
      </c>
      <c r="K9" s="4"/>
      <c r="L9" s="4"/>
      <c r="M9" s="4"/>
      <c r="N9" s="4"/>
      <c r="O9" s="4"/>
      <c r="P9" s="4" t="s">
        <v>207</v>
      </c>
      <c r="Q9" s="4" t="s">
        <v>220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2:31" x14ac:dyDescent="0.25">
      <c r="B10" s="4">
        <v>8</v>
      </c>
      <c r="C10" s="4">
        <v>1</v>
      </c>
      <c r="D10" s="4">
        <v>1</v>
      </c>
      <c r="E10" s="4" t="s">
        <v>221</v>
      </c>
      <c r="F10" s="4"/>
      <c r="G10" s="35" t="s">
        <v>222</v>
      </c>
      <c r="H10" s="35" t="s">
        <v>223</v>
      </c>
      <c r="I10" s="35" t="s">
        <v>224</v>
      </c>
      <c r="J10" s="35" t="s">
        <v>225</v>
      </c>
      <c r="K10" s="4"/>
      <c r="L10" s="4"/>
      <c r="M10" s="4"/>
      <c r="N10" s="4"/>
      <c r="O10" s="4"/>
      <c r="P10" s="4" t="s">
        <v>183</v>
      </c>
      <c r="Q10" s="4" t="s">
        <v>226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2:31" x14ac:dyDescent="0.25">
      <c r="B11" s="4">
        <v>9</v>
      </c>
      <c r="C11" s="4">
        <v>1</v>
      </c>
      <c r="D11" s="4">
        <v>1</v>
      </c>
      <c r="E11" s="4" t="s">
        <v>227</v>
      </c>
      <c r="F11" s="4"/>
      <c r="G11" s="35" t="s">
        <v>228</v>
      </c>
      <c r="H11" s="35" t="s">
        <v>229</v>
      </c>
      <c r="I11" s="35" t="s">
        <v>230</v>
      </c>
      <c r="J11" s="35" t="s">
        <v>231</v>
      </c>
      <c r="K11" s="4"/>
      <c r="L11" s="4"/>
      <c r="M11" s="4"/>
      <c r="N11" s="4"/>
      <c r="O11" s="4"/>
      <c r="P11" s="4" t="s">
        <v>189</v>
      </c>
      <c r="Q11" s="4" t="s">
        <v>232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2:31" x14ac:dyDescent="0.25">
      <c r="B12" s="4">
        <v>10</v>
      </c>
      <c r="C12" s="4">
        <v>1</v>
      </c>
      <c r="D12" s="4">
        <v>1</v>
      </c>
      <c r="E12" s="4" t="s">
        <v>233</v>
      </c>
      <c r="F12" s="4"/>
      <c r="G12" s="35" t="s">
        <v>234</v>
      </c>
      <c r="H12" s="35" t="s">
        <v>235</v>
      </c>
      <c r="I12" s="35" t="s">
        <v>236</v>
      </c>
      <c r="J12" s="35" t="s">
        <v>237</v>
      </c>
      <c r="K12" s="4"/>
      <c r="L12" s="4"/>
      <c r="M12" s="4"/>
      <c r="N12" s="4"/>
      <c r="O12" s="4"/>
      <c r="P12" s="4" t="s">
        <v>189</v>
      </c>
      <c r="Q12" s="4" t="s">
        <v>238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2:31" x14ac:dyDescent="0.25">
      <c r="B13" s="4">
        <v>11</v>
      </c>
      <c r="C13" s="4">
        <v>1</v>
      </c>
      <c r="D13" s="4">
        <v>1</v>
      </c>
      <c r="E13" s="4" t="s">
        <v>239</v>
      </c>
      <c r="F13" s="4"/>
      <c r="G13" s="35" t="s">
        <v>240</v>
      </c>
      <c r="H13" s="35" t="s">
        <v>241</v>
      </c>
      <c r="I13" s="35" t="s">
        <v>242</v>
      </c>
      <c r="J13" s="35" t="s">
        <v>243</v>
      </c>
      <c r="K13" s="4"/>
      <c r="L13" s="4"/>
      <c r="M13" s="4"/>
      <c r="N13" s="4"/>
      <c r="O13" s="4"/>
      <c r="P13" s="4" t="s">
        <v>183</v>
      </c>
      <c r="Q13" s="4" t="s">
        <v>244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2:31" x14ac:dyDescent="0.25">
      <c r="B14" s="4">
        <v>12</v>
      </c>
      <c r="C14" s="4">
        <v>1</v>
      </c>
      <c r="D14" s="4">
        <v>1</v>
      </c>
      <c r="E14" s="4" t="s">
        <v>245</v>
      </c>
      <c r="F14" s="4"/>
      <c r="G14" s="35" t="s">
        <v>246</v>
      </c>
      <c r="H14" s="35" t="s">
        <v>247</v>
      </c>
      <c r="I14" s="35" t="s">
        <v>248</v>
      </c>
      <c r="J14" s="35" t="s">
        <v>249</v>
      </c>
      <c r="K14" s="4"/>
      <c r="L14" s="4"/>
      <c r="M14" s="4"/>
      <c r="N14" s="4"/>
      <c r="O14" s="4"/>
      <c r="P14" s="4" t="s">
        <v>189</v>
      </c>
      <c r="Q14" s="4" t="s">
        <v>250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2:31" x14ac:dyDescent="0.25">
      <c r="B15" s="4">
        <v>13</v>
      </c>
      <c r="C15" s="4">
        <v>1</v>
      </c>
      <c r="D15" s="4">
        <v>1</v>
      </c>
      <c r="E15" s="4" t="s">
        <v>251</v>
      </c>
      <c r="F15" s="4"/>
      <c r="G15" s="35" t="s">
        <v>252</v>
      </c>
      <c r="H15" s="35" t="s">
        <v>186</v>
      </c>
      <c r="I15" s="35" t="s">
        <v>253</v>
      </c>
      <c r="J15" s="35" t="s">
        <v>254</v>
      </c>
      <c r="K15" s="4"/>
      <c r="L15" s="4"/>
      <c r="M15" s="4"/>
      <c r="N15" s="4"/>
      <c r="O15" s="4"/>
      <c r="P15" s="4" t="s">
        <v>255</v>
      </c>
      <c r="Q15" s="4" t="s">
        <v>256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2:31" x14ac:dyDescent="0.25">
      <c r="B16" s="4">
        <v>14</v>
      </c>
      <c r="C16" s="4">
        <v>1</v>
      </c>
      <c r="D16" s="4">
        <v>1</v>
      </c>
      <c r="E16" s="4" t="s">
        <v>257</v>
      </c>
      <c r="F16" s="4"/>
      <c r="G16" s="35" t="s">
        <v>258</v>
      </c>
      <c r="H16" s="35" t="s">
        <v>259</v>
      </c>
      <c r="I16" s="35" t="s">
        <v>260</v>
      </c>
      <c r="J16" s="35" t="s">
        <v>261</v>
      </c>
      <c r="K16" s="4"/>
      <c r="L16" s="4"/>
      <c r="M16" s="4"/>
      <c r="N16" s="4"/>
      <c r="O16" s="4"/>
      <c r="P16" s="4" t="s">
        <v>183</v>
      </c>
      <c r="Q16" s="4" t="s">
        <v>262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x14ac:dyDescent="0.25">
      <c r="B17" s="4">
        <v>15</v>
      </c>
      <c r="C17" s="4">
        <v>1</v>
      </c>
      <c r="D17" s="4">
        <v>1</v>
      </c>
      <c r="E17" s="4" t="s">
        <v>263</v>
      </c>
      <c r="F17" s="4"/>
      <c r="G17" s="35" t="s">
        <v>264</v>
      </c>
      <c r="H17" s="35" t="s">
        <v>265</v>
      </c>
      <c r="I17" s="35" t="s">
        <v>266</v>
      </c>
      <c r="J17" s="35" t="s">
        <v>267</v>
      </c>
      <c r="K17" s="4"/>
      <c r="L17" s="4"/>
      <c r="M17" s="4"/>
      <c r="N17" s="4"/>
      <c r="O17" s="4"/>
      <c r="P17" s="4" t="s">
        <v>183</v>
      </c>
      <c r="Q17" s="4" t="s">
        <v>268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x14ac:dyDescent="0.25">
      <c r="B18" s="4">
        <v>16</v>
      </c>
      <c r="C18" s="4">
        <v>1</v>
      </c>
      <c r="D18" s="4">
        <v>1</v>
      </c>
      <c r="E18" s="4" t="s">
        <v>269</v>
      </c>
      <c r="F18" s="4"/>
      <c r="G18" s="35" t="s">
        <v>270</v>
      </c>
      <c r="H18" s="35" t="s">
        <v>271</v>
      </c>
      <c r="I18" s="35" t="s">
        <v>272</v>
      </c>
      <c r="J18" s="35" t="s">
        <v>273</v>
      </c>
      <c r="K18" s="4"/>
      <c r="L18" s="4"/>
      <c r="M18" s="4"/>
      <c r="N18" s="4"/>
      <c r="O18" s="4"/>
      <c r="P18" s="4" t="s">
        <v>183</v>
      </c>
      <c r="Q18" s="4" t="s">
        <v>274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x14ac:dyDescent="0.25">
      <c r="B19" s="4">
        <v>17</v>
      </c>
      <c r="C19" s="4">
        <v>1</v>
      </c>
      <c r="D19" s="4">
        <v>1</v>
      </c>
      <c r="E19" s="4" t="s">
        <v>275</v>
      </c>
      <c r="F19" s="4"/>
      <c r="G19" s="35" t="s">
        <v>276</v>
      </c>
      <c r="H19" s="35" t="s">
        <v>277</v>
      </c>
      <c r="I19" s="35" t="s">
        <v>278</v>
      </c>
      <c r="J19" s="35" t="s">
        <v>279</v>
      </c>
      <c r="K19" s="4"/>
      <c r="L19" s="4"/>
      <c r="M19" s="4"/>
      <c r="N19" s="4"/>
      <c r="O19" s="4"/>
      <c r="P19" s="4" t="s">
        <v>255</v>
      </c>
      <c r="Q19" s="4" t="s">
        <v>280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x14ac:dyDescent="0.25">
      <c r="B20" s="4">
        <v>18</v>
      </c>
      <c r="C20" s="4">
        <v>1</v>
      </c>
      <c r="D20" s="4">
        <v>1</v>
      </c>
      <c r="E20" s="4" t="s">
        <v>281</v>
      </c>
      <c r="F20" s="4"/>
      <c r="G20" s="35" t="s">
        <v>210</v>
      </c>
      <c r="H20" s="35" t="s">
        <v>282</v>
      </c>
      <c r="I20" s="35" t="s">
        <v>283</v>
      </c>
      <c r="J20" s="35" t="s">
        <v>284</v>
      </c>
      <c r="K20" s="4"/>
      <c r="L20" s="4"/>
      <c r="M20" s="4"/>
      <c r="N20" s="4"/>
      <c r="O20" s="4"/>
      <c r="P20" s="4" t="s">
        <v>183</v>
      </c>
      <c r="Q20" s="4" t="s">
        <v>285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 x14ac:dyDescent="0.25">
      <c r="B21" s="4">
        <v>19</v>
      </c>
      <c r="C21" s="4">
        <v>1</v>
      </c>
      <c r="D21" s="4">
        <v>1</v>
      </c>
      <c r="E21" s="4" t="s">
        <v>286</v>
      </c>
      <c r="F21" s="4"/>
      <c r="G21" s="35" t="s">
        <v>287</v>
      </c>
      <c r="H21" s="35" t="s">
        <v>288</v>
      </c>
      <c r="I21" s="35" t="s">
        <v>289</v>
      </c>
      <c r="J21" s="35" t="s">
        <v>290</v>
      </c>
      <c r="K21" s="4"/>
      <c r="L21" s="4"/>
      <c r="M21" s="4"/>
      <c r="N21" s="4"/>
      <c r="O21" s="4"/>
      <c r="P21" s="4" t="s">
        <v>189</v>
      </c>
      <c r="Q21" s="4" t="s">
        <v>291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x14ac:dyDescent="0.25">
      <c r="B22" s="4">
        <v>20</v>
      </c>
      <c r="C22" s="4">
        <v>1</v>
      </c>
      <c r="D22" s="4">
        <v>1</v>
      </c>
      <c r="E22" s="4" t="s">
        <v>292</v>
      </c>
      <c r="F22" s="4"/>
      <c r="G22" s="35" t="s">
        <v>293</v>
      </c>
      <c r="H22" s="35" t="s">
        <v>294</v>
      </c>
      <c r="I22" s="35" t="s">
        <v>295</v>
      </c>
      <c r="J22" s="35" t="s">
        <v>296</v>
      </c>
      <c r="K22" s="4"/>
      <c r="L22" s="4"/>
      <c r="M22" s="4"/>
      <c r="N22" s="4"/>
      <c r="O22" s="4"/>
      <c r="P22" s="4" t="s">
        <v>183</v>
      </c>
      <c r="Q22" s="4" t="s">
        <v>297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x14ac:dyDescent="0.25">
      <c r="B23" s="4">
        <v>21</v>
      </c>
      <c r="C23" s="4">
        <v>1</v>
      </c>
      <c r="D23" s="4">
        <v>1</v>
      </c>
      <c r="E23" s="4" t="s">
        <v>298</v>
      </c>
      <c r="F23" s="4"/>
      <c r="G23" s="35" t="s">
        <v>299</v>
      </c>
      <c r="H23" s="35" t="s">
        <v>300</v>
      </c>
      <c r="I23" s="35" t="s">
        <v>301</v>
      </c>
      <c r="J23" s="35" t="s">
        <v>302</v>
      </c>
      <c r="K23" s="4"/>
      <c r="L23" s="4"/>
      <c r="M23" s="4"/>
      <c r="N23" s="4"/>
      <c r="O23" s="4"/>
      <c r="P23" s="4" t="s">
        <v>189</v>
      </c>
      <c r="Q23" s="4" t="s">
        <v>303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x14ac:dyDescent="0.25">
      <c r="B24" s="4">
        <v>22</v>
      </c>
      <c r="C24" s="4">
        <v>2</v>
      </c>
      <c r="D24" s="4">
        <v>1</v>
      </c>
      <c r="E24" s="4" t="s">
        <v>304</v>
      </c>
      <c r="F24" s="4"/>
      <c r="G24" s="35" t="s">
        <v>305</v>
      </c>
      <c r="H24" s="35" t="s">
        <v>306</v>
      </c>
      <c r="I24" s="35" t="s">
        <v>307</v>
      </c>
      <c r="J24" s="35" t="s">
        <v>308</v>
      </c>
      <c r="K24" s="4"/>
      <c r="L24" s="4"/>
      <c r="M24" s="4"/>
      <c r="N24" s="4"/>
      <c r="O24" s="4"/>
      <c r="P24" s="4" t="s">
        <v>183</v>
      </c>
      <c r="Q24" s="4" t="s">
        <v>309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x14ac:dyDescent="0.25">
      <c r="B25" s="4">
        <v>23</v>
      </c>
      <c r="C25" s="4">
        <v>2</v>
      </c>
      <c r="D25" s="4">
        <v>1</v>
      </c>
      <c r="E25" s="4" t="s">
        <v>310</v>
      </c>
      <c r="F25" s="4"/>
      <c r="G25" s="35" t="s">
        <v>311</v>
      </c>
      <c r="H25" s="35" t="s">
        <v>312</v>
      </c>
      <c r="I25" s="35" t="s">
        <v>313</v>
      </c>
      <c r="J25" s="35" t="s">
        <v>314</v>
      </c>
      <c r="K25" s="4"/>
      <c r="L25" s="4"/>
      <c r="M25" s="4"/>
      <c r="N25" s="4"/>
      <c r="O25" s="4"/>
      <c r="P25" s="4" t="s">
        <v>207</v>
      </c>
      <c r="Q25" s="4" t="s">
        <v>315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x14ac:dyDescent="0.25">
      <c r="B26" s="4">
        <v>24</v>
      </c>
      <c r="C26" s="4">
        <v>2</v>
      </c>
      <c r="D26" s="4">
        <v>1</v>
      </c>
      <c r="E26" s="4" t="s">
        <v>316</v>
      </c>
      <c r="F26" s="4"/>
      <c r="G26" s="35" t="s">
        <v>317</v>
      </c>
      <c r="H26" s="35" t="s">
        <v>318</v>
      </c>
      <c r="I26" s="35" t="s">
        <v>319</v>
      </c>
      <c r="J26" s="35" t="s">
        <v>320</v>
      </c>
      <c r="K26" s="4"/>
      <c r="L26" s="4"/>
      <c r="M26" s="4"/>
      <c r="N26" s="4"/>
      <c r="O26" s="4"/>
      <c r="P26" s="4" t="s">
        <v>183</v>
      </c>
      <c r="Q26" s="4" t="s">
        <v>321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2:31" x14ac:dyDescent="0.25">
      <c r="B27" s="4">
        <v>25</v>
      </c>
      <c r="C27" s="4">
        <v>2</v>
      </c>
      <c r="D27" s="4">
        <v>1</v>
      </c>
      <c r="E27" s="4" t="s">
        <v>322</v>
      </c>
      <c r="F27" s="4"/>
      <c r="G27" s="35" t="s">
        <v>210</v>
      </c>
      <c r="H27" s="35" t="s">
        <v>323</v>
      </c>
      <c r="I27" s="35" t="s">
        <v>324</v>
      </c>
      <c r="J27" s="35" t="s">
        <v>325</v>
      </c>
      <c r="K27" s="4"/>
      <c r="L27" s="4"/>
      <c r="M27" s="4"/>
      <c r="N27" s="4"/>
      <c r="O27" s="4"/>
      <c r="P27" s="4" t="s">
        <v>189</v>
      </c>
      <c r="Q27" s="4" t="s">
        <v>326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2:31" x14ac:dyDescent="0.25">
      <c r="B28" s="4">
        <v>26</v>
      </c>
      <c r="C28" s="4">
        <v>2</v>
      </c>
      <c r="D28" s="4">
        <v>1</v>
      </c>
      <c r="E28" s="4" t="s">
        <v>327</v>
      </c>
      <c r="F28" s="4"/>
      <c r="G28" s="35" t="s">
        <v>328</v>
      </c>
      <c r="H28" s="35" t="s">
        <v>329</v>
      </c>
      <c r="I28" s="35" t="s">
        <v>330</v>
      </c>
      <c r="J28" s="35" t="s">
        <v>331</v>
      </c>
      <c r="K28" s="4"/>
      <c r="L28" s="4"/>
      <c r="M28" s="4"/>
      <c r="N28" s="4"/>
      <c r="O28" s="4"/>
      <c r="P28" s="4" t="s">
        <v>183</v>
      </c>
      <c r="Q28" s="4" t="s">
        <v>332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2:31" x14ac:dyDescent="0.25">
      <c r="B29" s="4">
        <v>27</v>
      </c>
      <c r="C29" s="4">
        <v>2</v>
      </c>
      <c r="D29" s="4">
        <v>1</v>
      </c>
      <c r="E29" s="4" t="s">
        <v>333</v>
      </c>
      <c r="F29" s="4"/>
      <c r="G29" s="35" t="s">
        <v>334</v>
      </c>
      <c r="H29" s="35" t="s">
        <v>335</v>
      </c>
      <c r="I29" s="35" t="s">
        <v>336</v>
      </c>
      <c r="J29" s="35" t="s">
        <v>337</v>
      </c>
      <c r="K29" s="4"/>
      <c r="L29" s="4"/>
      <c r="M29" s="4"/>
      <c r="N29" s="4"/>
      <c r="O29" s="4"/>
      <c r="P29" s="4" t="s">
        <v>255</v>
      </c>
      <c r="Q29" s="4" t="s">
        <v>338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2:31" x14ac:dyDescent="0.25">
      <c r="B30" s="4">
        <v>28</v>
      </c>
      <c r="C30" s="4">
        <v>2</v>
      </c>
      <c r="D30" s="4">
        <v>1</v>
      </c>
      <c r="E30" s="4" t="s">
        <v>339</v>
      </c>
      <c r="F30" s="4"/>
      <c r="G30" s="35" t="s">
        <v>340</v>
      </c>
      <c r="H30" s="35" t="s">
        <v>341</v>
      </c>
      <c r="I30" s="35" t="s">
        <v>342</v>
      </c>
      <c r="J30" s="35" t="s">
        <v>343</v>
      </c>
      <c r="K30" s="4"/>
      <c r="L30" s="4"/>
      <c r="M30" s="4"/>
      <c r="N30" s="4"/>
      <c r="O30" s="4"/>
      <c r="P30" s="4" t="s">
        <v>207</v>
      </c>
      <c r="Q30" s="4" t="s">
        <v>344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2:31" x14ac:dyDescent="0.25">
      <c r="B31" s="4">
        <v>29</v>
      </c>
      <c r="C31" s="4">
        <v>2</v>
      </c>
      <c r="D31" s="4">
        <v>1</v>
      </c>
      <c r="E31" s="4" t="s">
        <v>345</v>
      </c>
      <c r="F31" s="4"/>
      <c r="G31" s="35" t="s">
        <v>346</v>
      </c>
      <c r="H31" s="35" t="s">
        <v>347</v>
      </c>
      <c r="I31" s="35" t="s">
        <v>348</v>
      </c>
      <c r="J31" s="35" t="s">
        <v>225</v>
      </c>
      <c r="K31" s="4"/>
      <c r="L31" s="4"/>
      <c r="M31" s="4"/>
      <c r="N31" s="4"/>
      <c r="O31" s="4"/>
      <c r="P31" s="4" t="s">
        <v>183</v>
      </c>
      <c r="Q31" s="4" t="s">
        <v>349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2:31" x14ac:dyDescent="0.25">
      <c r="B32" s="4">
        <v>30</v>
      </c>
      <c r="C32" s="4">
        <v>2</v>
      </c>
      <c r="D32" s="4">
        <v>1</v>
      </c>
      <c r="E32" s="4" t="s">
        <v>350</v>
      </c>
      <c r="F32" s="4"/>
      <c r="G32" s="35" t="s">
        <v>351</v>
      </c>
      <c r="H32" s="35" t="s">
        <v>352</v>
      </c>
      <c r="I32" s="35" t="s">
        <v>353</v>
      </c>
      <c r="J32" s="35" t="s">
        <v>354</v>
      </c>
      <c r="K32" s="4"/>
      <c r="L32" s="4"/>
      <c r="M32" s="4"/>
      <c r="N32" s="4"/>
      <c r="O32" s="4"/>
      <c r="P32" s="4" t="s">
        <v>183</v>
      </c>
      <c r="Q32" s="4" t="s">
        <v>355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2:31" x14ac:dyDescent="0.25">
      <c r="B33" s="4">
        <v>31</v>
      </c>
      <c r="C33" s="4">
        <v>2</v>
      </c>
      <c r="D33" s="4">
        <v>1</v>
      </c>
      <c r="E33" s="4" t="s">
        <v>356</v>
      </c>
      <c r="F33" s="4"/>
      <c r="G33" s="35" t="s">
        <v>357</v>
      </c>
      <c r="H33" s="35" t="s">
        <v>358</v>
      </c>
      <c r="I33" s="35" t="s">
        <v>359</v>
      </c>
      <c r="J33" s="35" t="s">
        <v>360</v>
      </c>
      <c r="K33" s="4"/>
      <c r="L33" s="4"/>
      <c r="M33" s="4"/>
      <c r="N33" s="4"/>
      <c r="O33" s="4"/>
      <c r="P33" s="4" t="s">
        <v>207</v>
      </c>
      <c r="Q33" s="4" t="s">
        <v>361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2:31" x14ac:dyDescent="0.25">
      <c r="B34" s="4">
        <v>32</v>
      </c>
      <c r="C34" s="4">
        <v>2</v>
      </c>
      <c r="D34" s="4">
        <v>1</v>
      </c>
      <c r="E34" s="4" t="s">
        <v>362</v>
      </c>
      <c r="F34" s="4"/>
      <c r="G34" s="35" t="s">
        <v>363</v>
      </c>
      <c r="H34" s="35" t="s">
        <v>364</v>
      </c>
      <c r="I34" s="35" t="s">
        <v>365</v>
      </c>
      <c r="J34" s="35" t="s">
        <v>366</v>
      </c>
      <c r="K34" s="4"/>
      <c r="L34" s="4"/>
      <c r="M34" s="4"/>
      <c r="N34" s="4"/>
      <c r="O34" s="4"/>
      <c r="P34" s="4" t="s">
        <v>183</v>
      </c>
      <c r="Q34" s="4" t="s">
        <v>367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2:31" x14ac:dyDescent="0.25">
      <c r="B35" s="4">
        <v>33</v>
      </c>
      <c r="C35" s="4">
        <v>2</v>
      </c>
      <c r="D35" s="4">
        <v>1</v>
      </c>
      <c r="E35" s="4" t="s">
        <v>368</v>
      </c>
      <c r="F35" s="4"/>
      <c r="G35" s="35" t="s">
        <v>369</v>
      </c>
      <c r="H35" s="35" t="s">
        <v>370</v>
      </c>
      <c r="I35" s="35" t="s">
        <v>371</v>
      </c>
      <c r="J35" s="35" t="s">
        <v>372</v>
      </c>
      <c r="K35" s="4"/>
      <c r="L35" s="4"/>
      <c r="M35" s="4"/>
      <c r="N35" s="4"/>
      <c r="O35" s="4"/>
      <c r="P35" s="4" t="s">
        <v>207</v>
      </c>
      <c r="Q35" s="4" t="s">
        <v>373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2:31" x14ac:dyDescent="0.25">
      <c r="B36" s="4">
        <v>34</v>
      </c>
      <c r="C36" s="4">
        <v>2</v>
      </c>
      <c r="D36" s="4">
        <v>1</v>
      </c>
      <c r="E36" s="4" t="s">
        <v>374</v>
      </c>
      <c r="F36" s="4"/>
      <c r="G36" s="35" t="s">
        <v>375</v>
      </c>
      <c r="H36" s="35" t="s">
        <v>376</v>
      </c>
      <c r="I36" s="35" t="s">
        <v>377</v>
      </c>
      <c r="J36" s="35" t="s">
        <v>378</v>
      </c>
      <c r="K36" s="4"/>
      <c r="L36" s="4"/>
      <c r="M36" s="4"/>
      <c r="N36" s="4"/>
      <c r="O36" s="4"/>
      <c r="P36" s="4" t="s">
        <v>189</v>
      </c>
      <c r="Q36" s="4" t="s">
        <v>379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2:31" x14ac:dyDescent="0.25">
      <c r="B37" s="4">
        <v>35</v>
      </c>
      <c r="C37" s="4">
        <v>2</v>
      </c>
      <c r="D37" s="4">
        <v>1</v>
      </c>
      <c r="E37" s="4" t="s">
        <v>380</v>
      </c>
      <c r="F37" s="4"/>
      <c r="G37" s="35" t="s">
        <v>381</v>
      </c>
      <c r="H37" s="35" t="s">
        <v>382</v>
      </c>
      <c r="I37" s="35" t="s">
        <v>383</v>
      </c>
      <c r="J37" s="35" t="s">
        <v>225</v>
      </c>
      <c r="K37" s="4"/>
      <c r="L37" s="4"/>
      <c r="M37" s="4"/>
      <c r="N37" s="4"/>
      <c r="O37" s="4"/>
      <c r="P37" s="4" t="s">
        <v>183</v>
      </c>
      <c r="Q37" s="4" t="s">
        <v>384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2:31" x14ac:dyDescent="0.25">
      <c r="B38" s="4">
        <v>36</v>
      </c>
      <c r="C38" s="4">
        <v>2</v>
      </c>
      <c r="D38" s="4">
        <v>1</v>
      </c>
      <c r="E38" s="4" t="s">
        <v>385</v>
      </c>
      <c r="F38" s="4"/>
      <c r="G38" s="35" t="s">
        <v>386</v>
      </c>
      <c r="H38" s="35" t="s">
        <v>387</v>
      </c>
      <c r="I38" s="35" t="s">
        <v>388</v>
      </c>
      <c r="J38" s="35" t="s">
        <v>389</v>
      </c>
      <c r="K38" s="4"/>
      <c r="L38" s="4"/>
      <c r="M38" s="4"/>
      <c r="N38" s="4"/>
      <c r="O38" s="4"/>
      <c r="P38" s="4" t="s">
        <v>183</v>
      </c>
      <c r="Q38" s="4" t="s">
        <v>390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1" x14ac:dyDescent="0.25">
      <c r="B39" s="4">
        <v>37</v>
      </c>
      <c r="C39" s="4">
        <v>2</v>
      </c>
      <c r="D39" s="4">
        <v>1</v>
      </c>
      <c r="E39" s="4" t="s">
        <v>391</v>
      </c>
      <c r="F39" s="4"/>
      <c r="G39" s="35" t="s">
        <v>392</v>
      </c>
      <c r="H39" s="35" t="s">
        <v>393</v>
      </c>
      <c r="I39" s="35" t="s">
        <v>394</v>
      </c>
      <c r="J39" s="35" t="s">
        <v>395</v>
      </c>
      <c r="K39" s="4"/>
      <c r="L39" s="4"/>
      <c r="M39" s="4"/>
      <c r="N39" s="4"/>
      <c r="O39" s="4"/>
      <c r="P39" s="4" t="s">
        <v>207</v>
      </c>
      <c r="Q39" s="4" t="s">
        <v>396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2:31" x14ac:dyDescent="0.25">
      <c r="B40" s="4">
        <v>39</v>
      </c>
      <c r="C40" s="4">
        <v>2</v>
      </c>
      <c r="D40" s="4">
        <v>1</v>
      </c>
      <c r="E40" s="4" t="s">
        <v>397</v>
      </c>
      <c r="F40" s="4"/>
      <c r="G40" s="35" t="s">
        <v>398</v>
      </c>
      <c r="H40" s="35" t="s">
        <v>399</v>
      </c>
      <c r="I40" s="35" t="s">
        <v>400</v>
      </c>
      <c r="J40" s="35" t="s">
        <v>401</v>
      </c>
      <c r="K40" s="4"/>
      <c r="L40" s="4"/>
      <c r="M40" s="4"/>
      <c r="N40" s="4"/>
      <c r="O40" s="4"/>
      <c r="P40" s="4" t="s">
        <v>189</v>
      </c>
      <c r="Q40" s="4" t="s">
        <v>402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2:31" x14ac:dyDescent="0.25">
      <c r="B41" s="4">
        <v>40</v>
      </c>
      <c r="C41" s="4">
        <v>2</v>
      </c>
      <c r="D41" s="4">
        <v>1</v>
      </c>
      <c r="E41" s="4" t="s">
        <v>403</v>
      </c>
      <c r="F41" s="4"/>
      <c r="G41" s="35" t="s">
        <v>404</v>
      </c>
      <c r="H41" s="35" t="s">
        <v>405</v>
      </c>
      <c r="I41" s="35" t="s">
        <v>353</v>
      </c>
      <c r="J41" s="35" t="s">
        <v>354</v>
      </c>
      <c r="K41" s="4"/>
      <c r="L41" s="4"/>
      <c r="M41" s="4"/>
      <c r="N41" s="4"/>
      <c r="O41" s="4"/>
      <c r="P41" s="4" t="s">
        <v>207</v>
      </c>
      <c r="Q41" s="4" t="s">
        <v>406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2:31" x14ac:dyDescent="0.25">
      <c r="B42" s="4">
        <v>41</v>
      </c>
      <c r="C42" s="4">
        <v>3</v>
      </c>
      <c r="D42" s="4">
        <v>1</v>
      </c>
      <c r="E42" s="4" t="s">
        <v>407</v>
      </c>
      <c r="F42" s="4"/>
      <c r="G42" s="35" t="s">
        <v>408</v>
      </c>
      <c r="H42" s="35" t="s">
        <v>409</v>
      </c>
      <c r="I42" s="35" t="s">
        <v>410</v>
      </c>
      <c r="J42" s="35" t="s">
        <v>411</v>
      </c>
      <c r="K42" s="4"/>
      <c r="L42" s="4"/>
      <c r="M42" s="4"/>
      <c r="N42" s="4"/>
      <c r="O42" s="4"/>
      <c r="P42" s="4" t="s">
        <v>183</v>
      </c>
      <c r="Q42" s="4" t="s">
        <v>412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2:31" x14ac:dyDescent="0.25">
      <c r="B43" s="4">
        <v>42</v>
      </c>
      <c r="C43" s="4">
        <v>3</v>
      </c>
      <c r="D43" s="4">
        <v>1</v>
      </c>
      <c r="E43" s="4" t="s">
        <v>413</v>
      </c>
      <c r="F43" s="4"/>
      <c r="G43" s="35" t="s">
        <v>414</v>
      </c>
      <c r="H43" s="35" t="s">
        <v>415</v>
      </c>
      <c r="I43" s="35" t="s">
        <v>416</v>
      </c>
      <c r="J43" s="35" t="s">
        <v>417</v>
      </c>
      <c r="K43" s="4"/>
      <c r="L43" s="4"/>
      <c r="M43" s="4"/>
      <c r="N43" s="4"/>
      <c r="O43" s="4"/>
      <c r="P43" s="4" t="s">
        <v>183</v>
      </c>
      <c r="Q43" s="4" t="s">
        <v>418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2:31" x14ac:dyDescent="0.25">
      <c r="B44" s="4">
        <v>43</v>
      </c>
      <c r="C44" s="4">
        <v>3</v>
      </c>
      <c r="D44" s="4">
        <v>1</v>
      </c>
      <c r="E44" s="4" t="s">
        <v>419</v>
      </c>
      <c r="F44" s="4"/>
      <c r="G44" s="35" t="s">
        <v>420</v>
      </c>
      <c r="H44" s="35" t="s">
        <v>421</v>
      </c>
      <c r="I44" s="35" t="s">
        <v>422</v>
      </c>
      <c r="J44" s="35" t="s">
        <v>423</v>
      </c>
      <c r="K44" s="4"/>
      <c r="L44" s="4"/>
      <c r="M44" s="4"/>
      <c r="N44" s="4"/>
      <c r="O44" s="4"/>
      <c r="P44" s="4" t="s">
        <v>189</v>
      </c>
      <c r="Q44" s="4" t="s">
        <v>424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2:31" x14ac:dyDescent="0.25">
      <c r="B45" s="4">
        <v>44</v>
      </c>
      <c r="C45" s="4">
        <v>3</v>
      </c>
      <c r="D45" s="4">
        <v>1</v>
      </c>
      <c r="E45" s="4" t="s">
        <v>425</v>
      </c>
      <c r="F45" s="4"/>
      <c r="G45" s="35" t="s">
        <v>426</v>
      </c>
      <c r="H45" s="35" t="s">
        <v>427</v>
      </c>
      <c r="I45" s="35" t="s">
        <v>428</v>
      </c>
      <c r="J45" s="35" t="s">
        <v>429</v>
      </c>
      <c r="K45" s="4"/>
      <c r="L45" s="4"/>
      <c r="M45" s="4"/>
      <c r="N45" s="4"/>
      <c r="O45" s="4"/>
      <c r="P45" s="4" t="s">
        <v>255</v>
      </c>
      <c r="Q45" s="4" t="s">
        <v>430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2:31" x14ac:dyDescent="0.25">
      <c r="B46" s="4">
        <v>45</v>
      </c>
      <c r="C46" s="4">
        <v>3</v>
      </c>
      <c r="D46" s="4">
        <v>1</v>
      </c>
      <c r="E46" s="4" t="s">
        <v>431</v>
      </c>
      <c r="F46" s="4"/>
      <c r="G46" s="35" t="s">
        <v>432</v>
      </c>
      <c r="H46" s="35" t="s">
        <v>433</v>
      </c>
      <c r="I46" s="35" t="s">
        <v>434</v>
      </c>
      <c r="J46" s="35" t="s">
        <v>435</v>
      </c>
      <c r="K46" s="4"/>
      <c r="L46" s="4"/>
      <c r="M46" s="4"/>
      <c r="N46" s="4"/>
      <c r="O46" s="4"/>
      <c r="P46" s="4" t="s">
        <v>255</v>
      </c>
      <c r="Q46" s="4" t="s">
        <v>436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2:31" x14ac:dyDescent="0.25">
      <c r="B47" s="4">
        <v>46</v>
      </c>
      <c r="C47" s="4">
        <v>3</v>
      </c>
      <c r="D47" s="4">
        <v>1</v>
      </c>
      <c r="E47" s="4" t="s">
        <v>437</v>
      </c>
      <c r="F47" s="4"/>
      <c r="G47" s="35" t="s">
        <v>438</v>
      </c>
      <c r="H47" s="35" t="s">
        <v>439</v>
      </c>
      <c r="I47" s="35" t="s">
        <v>440</v>
      </c>
      <c r="J47" s="35" t="s">
        <v>441</v>
      </c>
      <c r="K47" s="4"/>
      <c r="L47" s="4"/>
      <c r="M47" s="4"/>
      <c r="N47" s="4"/>
      <c r="O47" s="4"/>
      <c r="P47" s="4" t="s">
        <v>183</v>
      </c>
      <c r="Q47" s="4" t="s">
        <v>442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2:31" x14ac:dyDescent="0.25">
      <c r="B48" s="4">
        <v>47</v>
      </c>
      <c r="C48" s="4">
        <v>3</v>
      </c>
      <c r="D48" s="4">
        <v>1</v>
      </c>
      <c r="E48" s="4" t="s">
        <v>443</v>
      </c>
      <c r="F48" s="4"/>
      <c r="G48" s="35" t="s">
        <v>444</v>
      </c>
      <c r="H48" s="35" t="s">
        <v>445</v>
      </c>
      <c r="I48" s="35" t="s">
        <v>446</v>
      </c>
      <c r="J48" s="35" t="s">
        <v>447</v>
      </c>
      <c r="K48" s="4"/>
      <c r="L48" s="4"/>
      <c r="M48" s="4"/>
      <c r="N48" s="4"/>
      <c r="O48" s="4"/>
      <c r="P48" s="4" t="s">
        <v>207</v>
      </c>
      <c r="Q48" s="4" t="s">
        <v>448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2:31" x14ac:dyDescent="0.25">
      <c r="B49" s="4">
        <v>48</v>
      </c>
      <c r="C49" s="4">
        <v>3</v>
      </c>
      <c r="D49" s="4">
        <v>1</v>
      </c>
      <c r="E49" s="4" t="s">
        <v>449</v>
      </c>
      <c r="F49" s="4"/>
      <c r="G49" s="35" t="s">
        <v>450</v>
      </c>
      <c r="H49" s="35" t="s">
        <v>451</v>
      </c>
      <c r="I49" s="35" t="s">
        <v>452</v>
      </c>
      <c r="J49" s="35" t="s">
        <v>453</v>
      </c>
      <c r="K49" s="4"/>
      <c r="L49" s="4"/>
      <c r="M49" s="4"/>
      <c r="N49" s="4"/>
      <c r="O49" s="4"/>
      <c r="P49" s="4" t="s">
        <v>183</v>
      </c>
      <c r="Q49" s="4" t="s">
        <v>454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2:31" x14ac:dyDescent="0.25">
      <c r="B50" s="4">
        <v>49</v>
      </c>
      <c r="C50" s="4">
        <v>3</v>
      </c>
      <c r="D50" s="4">
        <v>1</v>
      </c>
      <c r="E50" s="4" t="s">
        <v>455</v>
      </c>
      <c r="F50" s="4"/>
      <c r="G50" s="35" t="s">
        <v>456</v>
      </c>
      <c r="H50" s="35" t="s">
        <v>457</v>
      </c>
      <c r="I50" s="35" t="s">
        <v>458</v>
      </c>
      <c r="J50" s="35" t="s">
        <v>459</v>
      </c>
      <c r="K50" s="4"/>
      <c r="L50" s="4"/>
      <c r="M50" s="4"/>
      <c r="N50" s="4"/>
      <c r="O50" s="4"/>
      <c r="P50" s="4" t="s">
        <v>207</v>
      </c>
      <c r="Q50" s="4" t="s">
        <v>460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2:31" x14ac:dyDescent="0.25">
      <c r="B51" s="4">
        <v>50</v>
      </c>
      <c r="C51" s="4">
        <v>3</v>
      </c>
      <c r="D51" s="4">
        <v>1</v>
      </c>
      <c r="E51" s="4" t="s">
        <v>461</v>
      </c>
      <c r="F51" s="4"/>
      <c r="G51" s="35" t="s">
        <v>462</v>
      </c>
      <c r="H51" s="35" t="s">
        <v>463</v>
      </c>
      <c r="I51" s="35" t="s">
        <v>464</v>
      </c>
      <c r="J51" s="35" t="s">
        <v>465</v>
      </c>
      <c r="K51" s="4"/>
      <c r="L51" s="4"/>
      <c r="M51" s="4"/>
      <c r="N51" s="4"/>
      <c r="O51" s="4"/>
      <c r="P51" s="4" t="s">
        <v>183</v>
      </c>
      <c r="Q51" s="4" t="s">
        <v>466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2:31" x14ac:dyDescent="0.25">
      <c r="B52" s="4">
        <v>51</v>
      </c>
      <c r="C52" s="4">
        <v>3</v>
      </c>
      <c r="D52" s="4">
        <v>1</v>
      </c>
      <c r="E52" s="4" t="s">
        <v>467</v>
      </c>
      <c r="F52" s="4"/>
      <c r="G52" s="35" t="s">
        <v>468</v>
      </c>
      <c r="H52" s="35" t="s">
        <v>469</v>
      </c>
      <c r="I52" s="35" t="s">
        <v>464</v>
      </c>
      <c r="J52" s="35" t="s">
        <v>470</v>
      </c>
      <c r="K52" s="4"/>
      <c r="L52" s="4"/>
      <c r="M52" s="4"/>
      <c r="N52" s="4"/>
      <c r="O52" s="4"/>
      <c r="P52" s="4" t="s">
        <v>207</v>
      </c>
      <c r="Q52" s="4" t="s">
        <v>471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2:31" x14ac:dyDescent="0.25">
      <c r="B53" s="4">
        <v>52</v>
      </c>
      <c r="C53" s="4">
        <v>3</v>
      </c>
      <c r="D53" s="4">
        <v>1</v>
      </c>
      <c r="E53" s="4" t="s">
        <v>472</v>
      </c>
      <c r="F53" s="4"/>
      <c r="G53" s="35" t="s">
        <v>473</v>
      </c>
      <c r="H53" s="35" t="s">
        <v>474</v>
      </c>
      <c r="I53" s="35" t="s">
        <v>475</v>
      </c>
      <c r="J53" s="35" t="s">
        <v>476</v>
      </c>
      <c r="K53" s="4"/>
      <c r="L53" s="4"/>
      <c r="M53" s="4"/>
      <c r="N53" s="4"/>
      <c r="O53" s="4"/>
      <c r="P53" s="4" t="s">
        <v>207</v>
      </c>
      <c r="Q53" s="4" t="s">
        <v>477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2:31" x14ac:dyDescent="0.25">
      <c r="B54" s="4">
        <v>53</v>
      </c>
      <c r="C54" s="4">
        <v>3</v>
      </c>
      <c r="D54" s="4">
        <v>1</v>
      </c>
      <c r="E54" s="4" t="s">
        <v>478</v>
      </c>
      <c r="F54" s="4"/>
      <c r="G54" s="35" t="s">
        <v>479</v>
      </c>
      <c r="H54" s="35" t="s">
        <v>480</v>
      </c>
      <c r="I54" s="35" t="s">
        <v>481</v>
      </c>
      <c r="J54" s="35" t="s">
        <v>482</v>
      </c>
      <c r="K54" s="4"/>
      <c r="L54" s="4"/>
      <c r="M54" s="4"/>
      <c r="N54" s="4"/>
      <c r="O54" s="4"/>
      <c r="P54" s="4" t="s">
        <v>183</v>
      </c>
      <c r="Q54" s="4" t="s">
        <v>483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2:31" x14ac:dyDescent="0.25">
      <c r="B55" s="4">
        <v>54</v>
      </c>
      <c r="C55" s="4">
        <v>3</v>
      </c>
      <c r="D55" s="4">
        <v>1</v>
      </c>
      <c r="E55" s="4" t="s">
        <v>484</v>
      </c>
      <c r="F55" s="4"/>
      <c r="G55" s="35" t="s">
        <v>485</v>
      </c>
      <c r="H55" s="35" t="s">
        <v>486</v>
      </c>
      <c r="I55" s="35" t="s">
        <v>487</v>
      </c>
      <c r="J55" s="35" t="s">
        <v>488</v>
      </c>
      <c r="K55" s="4"/>
      <c r="L55" s="4"/>
      <c r="M55" s="4"/>
      <c r="N55" s="4"/>
      <c r="O55" s="4"/>
      <c r="P55" s="4" t="s">
        <v>183</v>
      </c>
      <c r="Q55" s="4" t="s">
        <v>489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2:31" x14ac:dyDescent="0.25">
      <c r="B56" s="4">
        <v>55</v>
      </c>
      <c r="C56" s="4">
        <v>3</v>
      </c>
      <c r="D56" s="4">
        <v>1</v>
      </c>
      <c r="E56" s="4" t="s">
        <v>490</v>
      </c>
      <c r="F56" s="4"/>
      <c r="G56" s="35" t="s">
        <v>491</v>
      </c>
      <c r="H56" s="35" t="s">
        <v>492</v>
      </c>
      <c r="I56" s="35" t="s">
        <v>493</v>
      </c>
      <c r="J56" s="35" t="s">
        <v>494</v>
      </c>
      <c r="K56" s="4"/>
      <c r="L56" s="4"/>
      <c r="M56" s="4"/>
      <c r="N56" s="4"/>
      <c r="O56" s="4"/>
      <c r="P56" s="4" t="s">
        <v>207</v>
      </c>
      <c r="Q56" s="4" t="s">
        <v>495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2:31" x14ac:dyDescent="0.25">
      <c r="B57" s="4">
        <v>56</v>
      </c>
      <c r="C57" s="4">
        <v>3</v>
      </c>
      <c r="D57" s="4">
        <v>1</v>
      </c>
      <c r="E57" s="4" t="s">
        <v>496</v>
      </c>
      <c r="F57" s="4"/>
      <c r="G57" s="35" t="s">
        <v>497</v>
      </c>
      <c r="H57" s="35" t="s">
        <v>498</v>
      </c>
      <c r="I57" s="35" t="s">
        <v>499</v>
      </c>
      <c r="J57" s="35" t="s">
        <v>500</v>
      </c>
      <c r="K57" s="4"/>
      <c r="L57" s="4"/>
      <c r="M57" s="4"/>
      <c r="N57" s="4"/>
      <c r="O57" s="4"/>
      <c r="P57" s="4" t="s">
        <v>207</v>
      </c>
      <c r="Q57" s="4" t="s">
        <v>501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2:31" x14ac:dyDescent="0.25">
      <c r="B58" s="4">
        <v>57</v>
      </c>
      <c r="C58" s="4">
        <v>3</v>
      </c>
      <c r="D58" s="4">
        <v>1</v>
      </c>
      <c r="E58" s="4" t="s">
        <v>502</v>
      </c>
      <c r="F58" s="4"/>
      <c r="G58" s="35" t="s">
        <v>503</v>
      </c>
      <c r="H58" s="35" t="s">
        <v>504</v>
      </c>
      <c r="I58" s="35" t="s">
        <v>505</v>
      </c>
      <c r="J58" s="35" t="s">
        <v>506</v>
      </c>
      <c r="K58" s="4"/>
      <c r="L58" s="4"/>
      <c r="M58" s="4"/>
      <c r="N58" s="4"/>
      <c r="O58" s="4"/>
      <c r="P58" s="4" t="s">
        <v>183</v>
      </c>
      <c r="Q58" s="4" t="s">
        <v>507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2:31" x14ac:dyDescent="0.25">
      <c r="B59" s="4">
        <v>58</v>
      </c>
      <c r="C59" s="4">
        <v>3</v>
      </c>
      <c r="D59" s="4">
        <v>1</v>
      </c>
      <c r="E59" s="4" t="s">
        <v>508</v>
      </c>
      <c r="F59" s="4"/>
      <c r="G59" s="35" t="s">
        <v>509</v>
      </c>
      <c r="H59" s="35" t="s">
        <v>510</v>
      </c>
      <c r="I59" s="35" t="s">
        <v>511</v>
      </c>
      <c r="J59" s="35" t="s">
        <v>512</v>
      </c>
      <c r="K59" s="4"/>
      <c r="L59" s="4"/>
      <c r="M59" s="4"/>
      <c r="N59" s="4"/>
      <c r="O59" s="4"/>
      <c r="P59" s="4" t="s">
        <v>207</v>
      </c>
      <c r="Q59" s="4" t="s">
        <v>513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2:31" x14ac:dyDescent="0.25">
      <c r="B60" s="4">
        <v>59</v>
      </c>
      <c r="C60" s="4">
        <v>3</v>
      </c>
      <c r="D60" s="4">
        <v>1</v>
      </c>
      <c r="E60" s="4" t="s">
        <v>514</v>
      </c>
      <c r="F60" s="4"/>
      <c r="G60" s="35" t="s">
        <v>515</v>
      </c>
      <c r="H60" s="35" t="s">
        <v>516</v>
      </c>
      <c r="I60" s="35" t="s">
        <v>517</v>
      </c>
      <c r="J60" s="35" t="s">
        <v>518</v>
      </c>
      <c r="K60" s="4"/>
      <c r="L60" s="4"/>
      <c r="M60" s="4"/>
      <c r="N60" s="4"/>
      <c r="O60" s="4"/>
      <c r="P60" s="4" t="s">
        <v>255</v>
      </c>
      <c r="Q60" s="4" t="s">
        <v>519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2:31" x14ac:dyDescent="0.25">
      <c r="B61" s="4">
        <v>60</v>
      </c>
      <c r="C61" s="4">
        <v>3</v>
      </c>
      <c r="D61" s="4">
        <v>1</v>
      </c>
      <c r="E61" s="4" t="s">
        <v>520</v>
      </c>
      <c r="F61" s="4"/>
      <c r="G61" s="35" t="s">
        <v>521</v>
      </c>
      <c r="H61" s="35" t="s">
        <v>522</v>
      </c>
      <c r="I61" s="35" t="s">
        <v>523</v>
      </c>
      <c r="J61" s="35" t="s">
        <v>524</v>
      </c>
      <c r="K61" s="4"/>
      <c r="L61" s="4"/>
      <c r="M61" s="4"/>
      <c r="N61" s="4"/>
      <c r="O61" s="4"/>
      <c r="P61" s="4" t="s">
        <v>207</v>
      </c>
      <c r="Q61" s="4" t="s">
        <v>525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2:31" x14ac:dyDescent="0.25">
      <c r="B62" s="4">
        <v>61</v>
      </c>
      <c r="C62" s="4">
        <v>4</v>
      </c>
      <c r="D62" s="4">
        <v>1</v>
      </c>
      <c r="E62" s="4" t="s">
        <v>526</v>
      </c>
      <c r="F62" s="4"/>
      <c r="G62" s="35" t="s">
        <v>527</v>
      </c>
      <c r="H62" s="35" t="s">
        <v>528</v>
      </c>
      <c r="I62" s="35" t="s">
        <v>529</v>
      </c>
      <c r="J62" s="35" t="s">
        <v>530</v>
      </c>
      <c r="K62" s="4"/>
      <c r="L62" s="4"/>
      <c r="M62" s="4"/>
      <c r="N62" s="4"/>
      <c r="O62" s="4"/>
      <c r="P62" s="4" t="s">
        <v>189</v>
      </c>
      <c r="Q62" s="4" t="s">
        <v>531</v>
      </c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2:31" x14ac:dyDescent="0.25">
      <c r="B63" s="4">
        <v>62</v>
      </c>
      <c r="C63" s="4">
        <v>4</v>
      </c>
      <c r="D63" s="4">
        <v>1</v>
      </c>
      <c r="E63" s="4" t="s">
        <v>532</v>
      </c>
      <c r="F63" s="4"/>
      <c r="G63" s="35" t="s">
        <v>533</v>
      </c>
      <c r="H63" s="35" t="s">
        <v>534</v>
      </c>
      <c r="I63" s="35" t="s">
        <v>535</v>
      </c>
      <c r="J63" s="35" t="s">
        <v>536</v>
      </c>
      <c r="K63" s="4"/>
      <c r="L63" s="4"/>
      <c r="M63" s="4"/>
      <c r="N63" s="4"/>
      <c r="O63" s="4"/>
      <c r="P63" s="4" t="s">
        <v>183</v>
      </c>
      <c r="Q63" s="4" t="s">
        <v>537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2:31" x14ac:dyDescent="0.25">
      <c r="B64" s="4">
        <v>63</v>
      </c>
      <c r="C64" s="4">
        <v>4</v>
      </c>
      <c r="D64" s="4">
        <v>1</v>
      </c>
      <c r="E64" s="4" t="s">
        <v>538</v>
      </c>
      <c r="F64" s="4"/>
      <c r="G64" s="35" t="s">
        <v>539</v>
      </c>
      <c r="H64" s="35" t="s">
        <v>540</v>
      </c>
      <c r="I64" s="35" t="s">
        <v>541</v>
      </c>
      <c r="J64" s="35" t="s">
        <v>542</v>
      </c>
      <c r="K64" s="4"/>
      <c r="L64" s="4"/>
      <c r="M64" s="4"/>
      <c r="N64" s="4"/>
      <c r="O64" s="4"/>
      <c r="P64" s="4" t="s">
        <v>189</v>
      </c>
      <c r="Q64" s="4" t="s">
        <v>543</v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x14ac:dyDescent="0.25">
      <c r="B65" s="4">
        <v>64</v>
      </c>
      <c r="C65" s="4">
        <v>4</v>
      </c>
      <c r="D65" s="4">
        <v>1</v>
      </c>
      <c r="E65" s="4" t="s">
        <v>544</v>
      </c>
      <c r="F65" s="4"/>
      <c r="G65" s="35" t="s">
        <v>545</v>
      </c>
      <c r="H65" s="35" t="s">
        <v>546</v>
      </c>
      <c r="I65" s="35" t="s">
        <v>547</v>
      </c>
      <c r="J65" s="35" t="s">
        <v>548</v>
      </c>
      <c r="K65" s="4"/>
      <c r="L65" s="4"/>
      <c r="M65" s="4"/>
      <c r="N65" s="4"/>
      <c r="O65" s="4"/>
      <c r="P65" s="4" t="s">
        <v>183</v>
      </c>
      <c r="Q65" s="4" t="s">
        <v>549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x14ac:dyDescent="0.25">
      <c r="B66" s="4">
        <v>65</v>
      </c>
      <c r="C66" s="4">
        <v>4</v>
      </c>
      <c r="D66" s="4">
        <v>1</v>
      </c>
      <c r="E66" s="4" t="s">
        <v>550</v>
      </c>
      <c r="F66" s="4"/>
      <c r="G66" s="35" t="s">
        <v>551</v>
      </c>
      <c r="H66" s="35" t="s">
        <v>552</v>
      </c>
      <c r="I66" s="35" t="s">
        <v>553</v>
      </c>
      <c r="J66" s="35" t="s">
        <v>554</v>
      </c>
      <c r="K66" s="4"/>
      <c r="L66" s="4"/>
      <c r="M66" s="4"/>
      <c r="N66" s="4"/>
      <c r="O66" s="4"/>
      <c r="P66" s="4" t="s">
        <v>189</v>
      </c>
      <c r="Q66" s="4" t="s">
        <v>555</v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x14ac:dyDescent="0.25">
      <c r="B67" s="4">
        <v>66</v>
      </c>
      <c r="C67" s="4">
        <v>4</v>
      </c>
      <c r="D67" s="4">
        <v>1</v>
      </c>
      <c r="E67" s="4" t="s">
        <v>556</v>
      </c>
      <c r="F67" s="4"/>
      <c r="G67" s="35" t="s">
        <v>557</v>
      </c>
      <c r="H67" s="35" t="s">
        <v>558</v>
      </c>
      <c r="I67" s="35" t="s">
        <v>559</v>
      </c>
      <c r="J67" s="35" t="s">
        <v>560</v>
      </c>
      <c r="K67" s="4"/>
      <c r="L67" s="4"/>
      <c r="M67" s="4"/>
      <c r="N67" s="4"/>
      <c r="O67" s="4"/>
      <c r="P67" s="4" t="s">
        <v>189</v>
      </c>
      <c r="Q67" s="4" t="s">
        <v>561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x14ac:dyDescent="0.25">
      <c r="B68" s="4">
        <v>67</v>
      </c>
      <c r="C68" s="4">
        <v>4</v>
      </c>
      <c r="D68" s="4">
        <v>1</v>
      </c>
      <c r="E68" s="4" t="s">
        <v>562</v>
      </c>
      <c r="F68" s="4"/>
      <c r="G68" s="35" t="s">
        <v>563</v>
      </c>
      <c r="H68" s="35" t="s">
        <v>564</v>
      </c>
      <c r="I68" s="35" t="s">
        <v>565</v>
      </c>
      <c r="J68" s="35" t="s">
        <v>566</v>
      </c>
      <c r="K68" s="4"/>
      <c r="L68" s="4"/>
      <c r="M68" s="4"/>
      <c r="N68" s="4"/>
      <c r="O68" s="4"/>
      <c r="P68" s="4" t="s">
        <v>189</v>
      </c>
      <c r="Q68" s="4" t="s">
        <v>567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x14ac:dyDescent="0.25">
      <c r="B69" s="4">
        <v>68</v>
      </c>
      <c r="C69" s="4">
        <v>4</v>
      </c>
      <c r="D69" s="4">
        <v>1</v>
      </c>
      <c r="E69" s="4" t="s">
        <v>568</v>
      </c>
      <c r="F69" s="4"/>
      <c r="G69" s="35" t="s">
        <v>551</v>
      </c>
      <c r="H69" s="35" t="s">
        <v>569</v>
      </c>
      <c r="I69" s="35" t="s">
        <v>553</v>
      </c>
      <c r="J69" s="35" t="s">
        <v>570</v>
      </c>
      <c r="K69" s="4"/>
      <c r="L69" s="4"/>
      <c r="M69" s="4"/>
      <c r="N69" s="4"/>
      <c r="O69" s="4"/>
      <c r="P69" s="4" t="s">
        <v>189</v>
      </c>
      <c r="Q69" s="4" t="s">
        <v>571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x14ac:dyDescent="0.25">
      <c r="B70" s="4">
        <v>69</v>
      </c>
      <c r="C70" s="4">
        <v>4</v>
      </c>
      <c r="D70" s="4">
        <v>1</v>
      </c>
      <c r="E70" s="4" t="s">
        <v>572</v>
      </c>
      <c r="F70" s="4"/>
      <c r="G70" s="35" t="s">
        <v>573</v>
      </c>
      <c r="H70" s="35" t="s">
        <v>540</v>
      </c>
      <c r="I70" s="35" t="s">
        <v>574</v>
      </c>
      <c r="J70" s="35" t="s">
        <v>575</v>
      </c>
      <c r="K70" s="4"/>
      <c r="L70" s="4"/>
      <c r="M70" s="4"/>
      <c r="N70" s="4"/>
      <c r="O70" s="4"/>
      <c r="P70" s="4" t="s">
        <v>183</v>
      </c>
      <c r="Q70" s="4" t="s">
        <v>576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x14ac:dyDescent="0.25">
      <c r="B71" s="4">
        <v>70</v>
      </c>
      <c r="C71" s="4">
        <v>4</v>
      </c>
      <c r="D71" s="4">
        <v>1</v>
      </c>
      <c r="E71" s="4" t="s">
        <v>577</v>
      </c>
      <c r="F71" s="4"/>
      <c r="G71" s="35" t="s">
        <v>578</v>
      </c>
      <c r="H71" s="35" t="s">
        <v>579</v>
      </c>
      <c r="I71" s="35" t="s">
        <v>580</v>
      </c>
      <c r="J71" s="35" t="s">
        <v>581</v>
      </c>
      <c r="K71" s="4"/>
      <c r="L71" s="4"/>
      <c r="M71" s="4"/>
      <c r="N71" s="4"/>
      <c r="O71" s="4"/>
      <c r="P71" s="4" t="s">
        <v>183</v>
      </c>
      <c r="Q71" s="4" t="s">
        <v>582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x14ac:dyDescent="0.25">
      <c r="B72" s="4">
        <v>71</v>
      </c>
      <c r="C72" s="4">
        <v>5</v>
      </c>
      <c r="D72" s="4">
        <v>1</v>
      </c>
      <c r="E72" s="4" t="s">
        <v>583</v>
      </c>
      <c r="F72" s="4"/>
      <c r="G72" s="35" t="s">
        <v>584</v>
      </c>
      <c r="H72" s="35" t="s">
        <v>585</v>
      </c>
      <c r="I72" s="35" t="s">
        <v>586</v>
      </c>
      <c r="J72" s="35" t="s">
        <v>587</v>
      </c>
      <c r="K72" s="4"/>
      <c r="L72" s="4"/>
      <c r="M72" s="4"/>
      <c r="N72" s="4"/>
      <c r="O72" s="4"/>
      <c r="P72" s="4" t="s">
        <v>189</v>
      </c>
      <c r="Q72" s="4" t="s">
        <v>588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x14ac:dyDescent="0.25">
      <c r="B73" s="4">
        <v>72</v>
      </c>
      <c r="C73" s="4">
        <v>5</v>
      </c>
      <c r="D73" s="4">
        <v>1</v>
      </c>
      <c r="E73" s="4" t="s">
        <v>589</v>
      </c>
      <c r="F73" s="4"/>
      <c r="G73" s="35" t="s">
        <v>590</v>
      </c>
      <c r="H73" s="35" t="s">
        <v>591</v>
      </c>
      <c r="I73" s="35" t="s">
        <v>592</v>
      </c>
      <c r="J73" s="35" t="s">
        <v>593</v>
      </c>
      <c r="K73" s="4"/>
      <c r="L73" s="4"/>
      <c r="M73" s="4"/>
      <c r="N73" s="4"/>
      <c r="O73" s="4"/>
      <c r="P73" s="4" t="s">
        <v>183</v>
      </c>
      <c r="Q73" s="4" t="s">
        <v>594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x14ac:dyDescent="0.25">
      <c r="B74" s="4">
        <v>73</v>
      </c>
      <c r="C74" s="4">
        <v>5</v>
      </c>
      <c r="D74" s="4">
        <v>1</v>
      </c>
      <c r="E74" s="4" t="s">
        <v>595</v>
      </c>
      <c r="F74" s="4"/>
      <c r="G74" s="35" t="s">
        <v>539</v>
      </c>
      <c r="H74" s="35" t="s">
        <v>596</v>
      </c>
      <c r="I74" s="35" t="s">
        <v>597</v>
      </c>
      <c r="J74" s="35" t="s">
        <v>598</v>
      </c>
      <c r="K74" s="4"/>
      <c r="L74" s="4"/>
      <c r="M74" s="4"/>
      <c r="N74" s="4"/>
      <c r="O74" s="4"/>
      <c r="P74" s="4" t="s">
        <v>189</v>
      </c>
      <c r="Q74" s="4" t="s">
        <v>599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x14ac:dyDescent="0.25">
      <c r="B75" s="4">
        <v>74</v>
      </c>
      <c r="C75" s="4">
        <v>5</v>
      </c>
      <c r="D75" s="4">
        <v>1</v>
      </c>
      <c r="E75" s="4" t="s">
        <v>600</v>
      </c>
      <c r="F75" s="4"/>
      <c r="G75" s="35" t="s">
        <v>601</v>
      </c>
      <c r="H75" s="35" t="s">
        <v>602</v>
      </c>
      <c r="I75" s="35" t="s">
        <v>603</v>
      </c>
      <c r="J75" s="35" t="s">
        <v>604</v>
      </c>
      <c r="K75" s="4"/>
      <c r="L75" s="4"/>
      <c r="M75" s="4"/>
      <c r="N75" s="4"/>
      <c r="O75" s="4"/>
      <c r="P75" s="4" t="s">
        <v>183</v>
      </c>
      <c r="Q75" s="4" t="s">
        <v>605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x14ac:dyDescent="0.25">
      <c r="B76" s="4">
        <v>75</v>
      </c>
      <c r="C76" s="4">
        <v>5</v>
      </c>
      <c r="D76" s="4">
        <v>1</v>
      </c>
      <c r="E76" s="4" t="s">
        <v>606</v>
      </c>
      <c r="F76" s="4"/>
      <c r="G76" s="35" t="s">
        <v>607</v>
      </c>
      <c r="H76" s="35" t="s">
        <v>608</v>
      </c>
      <c r="I76" s="35" t="s">
        <v>609</v>
      </c>
      <c r="J76" s="35" t="s">
        <v>610</v>
      </c>
      <c r="K76" s="4"/>
      <c r="L76" s="4"/>
      <c r="M76" s="4"/>
      <c r="N76" s="4"/>
      <c r="O76" s="4"/>
      <c r="P76" s="4" t="s">
        <v>189</v>
      </c>
      <c r="Q76" s="4" t="s">
        <v>611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x14ac:dyDescent="0.25">
      <c r="B77" s="4">
        <v>76</v>
      </c>
      <c r="C77" s="4">
        <v>5</v>
      </c>
      <c r="D77" s="4">
        <v>1</v>
      </c>
      <c r="E77" s="4" t="s">
        <v>612</v>
      </c>
      <c r="F77" s="4"/>
      <c r="G77" s="35" t="s">
        <v>613</v>
      </c>
      <c r="H77" s="35" t="s">
        <v>614</v>
      </c>
      <c r="I77" s="35" t="s">
        <v>615</v>
      </c>
      <c r="J77" s="35" t="s">
        <v>616</v>
      </c>
      <c r="K77" s="4"/>
      <c r="L77" s="4"/>
      <c r="M77" s="4"/>
      <c r="N77" s="4"/>
      <c r="O77" s="4"/>
      <c r="P77" s="4" t="s">
        <v>189</v>
      </c>
      <c r="Q77" s="4" t="s">
        <v>617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x14ac:dyDescent="0.25">
      <c r="B78" s="4">
        <v>77</v>
      </c>
      <c r="C78" s="4">
        <v>5</v>
      </c>
      <c r="D78" s="4">
        <v>1</v>
      </c>
      <c r="E78" s="4" t="s">
        <v>618</v>
      </c>
      <c r="F78" s="4"/>
      <c r="G78" s="35" t="s">
        <v>619</v>
      </c>
      <c r="H78" s="35" t="s">
        <v>620</v>
      </c>
      <c r="I78" s="35" t="s">
        <v>621</v>
      </c>
      <c r="J78" s="35" t="s">
        <v>622</v>
      </c>
      <c r="K78" s="4"/>
      <c r="L78" s="4"/>
      <c r="M78" s="4"/>
      <c r="N78" s="4"/>
      <c r="O78" s="4"/>
      <c r="P78" s="4" t="s">
        <v>183</v>
      </c>
      <c r="Q78" s="4" t="s">
        <v>623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x14ac:dyDescent="0.25">
      <c r="B79" s="4">
        <v>78</v>
      </c>
      <c r="C79" s="4">
        <v>5</v>
      </c>
      <c r="D79" s="4">
        <v>1</v>
      </c>
      <c r="E79" s="4" t="s">
        <v>624</v>
      </c>
      <c r="F79" s="4"/>
      <c r="G79" s="35" t="s">
        <v>625</v>
      </c>
      <c r="H79" s="35" t="s">
        <v>626</v>
      </c>
      <c r="I79" s="35" t="s">
        <v>627</v>
      </c>
      <c r="J79" s="35" t="s">
        <v>628</v>
      </c>
      <c r="K79" s="4"/>
      <c r="L79" s="4"/>
      <c r="M79" s="4"/>
      <c r="N79" s="4"/>
      <c r="O79" s="4"/>
      <c r="P79" s="4" t="s">
        <v>189</v>
      </c>
      <c r="Q79" s="4" t="s">
        <v>629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x14ac:dyDescent="0.25">
      <c r="B80" s="4">
        <v>79</v>
      </c>
      <c r="C80" s="4">
        <v>5</v>
      </c>
      <c r="D80" s="4">
        <v>1</v>
      </c>
      <c r="E80" s="4" t="s">
        <v>630</v>
      </c>
      <c r="F80" s="4"/>
      <c r="G80" s="35" t="s">
        <v>631</v>
      </c>
      <c r="H80" s="35" t="s">
        <v>632</v>
      </c>
      <c r="I80" s="35" t="s">
        <v>633</v>
      </c>
      <c r="J80" s="35" t="s">
        <v>634</v>
      </c>
      <c r="K80" s="4"/>
      <c r="L80" s="4"/>
      <c r="M80" s="4"/>
      <c r="N80" s="4"/>
      <c r="O80" s="4"/>
      <c r="P80" s="4" t="s">
        <v>189</v>
      </c>
      <c r="Q80" s="4" t="s">
        <v>635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x14ac:dyDescent="0.25">
      <c r="B81" s="4">
        <v>80</v>
      </c>
      <c r="C81" s="4">
        <v>5</v>
      </c>
      <c r="D81" s="4">
        <v>1</v>
      </c>
      <c r="E81" s="4" t="s">
        <v>636</v>
      </c>
      <c r="F81" s="4"/>
      <c r="G81" s="35" t="s">
        <v>637</v>
      </c>
      <c r="H81" s="35" t="s">
        <v>638</v>
      </c>
      <c r="I81" s="35" t="s">
        <v>639</v>
      </c>
      <c r="J81" s="35" t="s">
        <v>640</v>
      </c>
      <c r="K81" s="4"/>
      <c r="L81" s="4"/>
      <c r="M81" s="4"/>
      <c r="N81" s="4"/>
      <c r="O81" s="4"/>
      <c r="P81" s="4" t="s">
        <v>183</v>
      </c>
      <c r="Q81" s="4" t="s">
        <v>641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x14ac:dyDescent="0.25">
      <c r="B82" s="4">
        <v>81</v>
      </c>
      <c r="C82" s="4">
        <v>7</v>
      </c>
      <c r="D82" s="4">
        <v>1</v>
      </c>
      <c r="E82" s="4" t="s">
        <v>642</v>
      </c>
      <c r="F82" s="4"/>
      <c r="G82" s="35" t="s">
        <v>643</v>
      </c>
      <c r="H82" s="35" t="s">
        <v>644</v>
      </c>
      <c r="I82" s="35" t="s">
        <v>645</v>
      </c>
      <c r="J82" s="35" t="s">
        <v>646</v>
      </c>
      <c r="K82" s="4"/>
      <c r="L82" s="4"/>
      <c r="M82" s="4"/>
      <c r="N82" s="4"/>
      <c r="O82" s="4"/>
      <c r="P82" s="4" t="s">
        <v>189</v>
      </c>
      <c r="Q82" s="4" t="s">
        <v>647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x14ac:dyDescent="0.25">
      <c r="B83" s="4">
        <v>82</v>
      </c>
      <c r="C83" s="4">
        <v>7</v>
      </c>
      <c r="D83" s="4">
        <v>1</v>
      </c>
      <c r="E83" s="4" t="s">
        <v>648</v>
      </c>
      <c r="F83" s="4"/>
      <c r="G83" s="35" t="s">
        <v>649</v>
      </c>
      <c r="H83" s="35" t="s">
        <v>650</v>
      </c>
      <c r="I83" s="35" t="s">
        <v>651</v>
      </c>
      <c r="J83" s="35" t="s">
        <v>652</v>
      </c>
      <c r="K83" s="4"/>
      <c r="L83" s="4"/>
      <c r="M83" s="4"/>
      <c r="N83" s="4"/>
      <c r="O83" s="4"/>
      <c r="P83" s="4" t="s">
        <v>189</v>
      </c>
      <c r="Q83" s="4" t="s">
        <v>653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x14ac:dyDescent="0.25">
      <c r="B84" s="4">
        <v>83</v>
      </c>
      <c r="C84" s="4">
        <v>7</v>
      </c>
      <c r="D84" s="4">
        <v>1</v>
      </c>
      <c r="E84" s="4" t="s">
        <v>654</v>
      </c>
      <c r="F84" s="4"/>
      <c r="G84" s="35" t="s">
        <v>655</v>
      </c>
      <c r="H84" s="35" t="s">
        <v>656</v>
      </c>
      <c r="I84" s="35" t="s">
        <v>657</v>
      </c>
      <c r="J84" s="35" t="s">
        <v>658</v>
      </c>
      <c r="K84" s="4"/>
      <c r="L84" s="4"/>
      <c r="M84" s="4"/>
      <c r="N84" s="4"/>
      <c r="O84" s="4"/>
      <c r="P84" s="4" t="s">
        <v>183</v>
      </c>
      <c r="Q84" s="4" t="s">
        <v>659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x14ac:dyDescent="0.25">
      <c r="B85" s="4">
        <v>84</v>
      </c>
      <c r="C85" s="4">
        <v>7</v>
      </c>
      <c r="D85" s="4">
        <v>1</v>
      </c>
      <c r="E85" s="4" t="s">
        <v>660</v>
      </c>
      <c r="F85" s="4"/>
      <c r="G85" s="35" t="s">
        <v>661</v>
      </c>
      <c r="H85" s="35" t="s">
        <v>662</v>
      </c>
      <c r="I85" s="35" t="s">
        <v>663</v>
      </c>
      <c r="J85" s="35" t="s">
        <v>664</v>
      </c>
      <c r="K85" s="4"/>
      <c r="L85" s="4"/>
      <c r="M85" s="4"/>
      <c r="N85" s="4"/>
      <c r="O85" s="4"/>
      <c r="P85" s="4" t="s">
        <v>183</v>
      </c>
      <c r="Q85" s="4" t="s">
        <v>665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x14ac:dyDescent="0.25">
      <c r="B86" s="4">
        <v>85</v>
      </c>
      <c r="C86" s="4">
        <v>7</v>
      </c>
      <c r="D86" s="4">
        <v>1</v>
      </c>
      <c r="E86" s="4" t="s">
        <v>666</v>
      </c>
      <c r="F86" s="4"/>
      <c r="G86" s="35" t="s">
        <v>667</v>
      </c>
      <c r="H86" s="35" t="s">
        <v>668</v>
      </c>
      <c r="I86" s="35" t="s">
        <v>669</v>
      </c>
      <c r="J86" s="35" t="s">
        <v>670</v>
      </c>
      <c r="K86" s="4"/>
      <c r="L86" s="4"/>
      <c r="M86" s="4"/>
      <c r="N86" s="4"/>
      <c r="O86" s="4"/>
      <c r="P86" s="4" t="s">
        <v>183</v>
      </c>
      <c r="Q86" s="4" t="s">
        <v>671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x14ac:dyDescent="0.25">
      <c r="B87" s="4">
        <v>86</v>
      </c>
      <c r="C87" s="4">
        <v>7</v>
      </c>
      <c r="D87" s="4">
        <v>1</v>
      </c>
      <c r="E87" s="4" t="s">
        <v>672</v>
      </c>
      <c r="F87" s="4"/>
      <c r="G87" s="35" t="s">
        <v>673</v>
      </c>
      <c r="H87" s="35" t="s">
        <v>674</v>
      </c>
      <c r="I87" s="35" t="s">
        <v>675</v>
      </c>
      <c r="J87" s="35" t="s">
        <v>676</v>
      </c>
      <c r="K87" s="4"/>
      <c r="L87" s="4"/>
      <c r="M87" s="4"/>
      <c r="N87" s="4"/>
      <c r="O87" s="4"/>
      <c r="P87" s="4" t="s">
        <v>183</v>
      </c>
      <c r="Q87" s="4" t="s">
        <v>677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x14ac:dyDescent="0.25">
      <c r="B88" s="4">
        <v>87</v>
      </c>
      <c r="C88" s="4">
        <v>7</v>
      </c>
      <c r="D88" s="4">
        <v>1</v>
      </c>
      <c r="E88" s="4" t="s">
        <v>678</v>
      </c>
      <c r="F88" s="4"/>
      <c r="G88" s="35" t="s">
        <v>679</v>
      </c>
      <c r="H88" s="35" t="s">
        <v>680</v>
      </c>
      <c r="I88" s="35" t="s">
        <v>681</v>
      </c>
      <c r="J88" s="35" t="s">
        <v>682</v>
      </c>
      <c r="K88" s="4"/>
      <c r="L88" s="4"/>
      <c r="M88" s="4"/>
      <c r="N88" s="4"/>
      <c r="O88" s="4"/>
      <c r="P88" s="4" t="s">
        <v>183</v>
      </c>
      <c r="Q88" s="4" t="s">
        <v>683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x14ac:dyDescent="0.25">
      <c r="B89" s="4">
        <v>88</v>
      </c>
      <c r="C89" s="4">
        <v>7</v>
      </c>
      <c r="D89" s="4">
        <v>1</v>
      </c>
      <c r="E89" s="4" t="s">
        <v>684</v>
      </c>
      <c r="F89" s="4"/>
      <c r="G89" s="35" t="s">
        <v>685</v>
      </c>
      <c r="H89" s="35" t="s">
        <v>686</v>
      </c>
      <c r="I89" s="35" t="s">
        <v>687</v>
      </c>
      <c r="J89" s="35" t="s">
        <v>688</v>
      </c>
      <c r="K89" s="4"/>
      <c r="L89" s="4"/>
      <c r="M89" s="4"/>
      <c r="N89" s="4"/>
      <c r="O89" s="4"/>
      <c r="P89" s="4" t="s">
        <v>183</v>
      </c>
      <c r="Q89" s="4" t="s">
        <v>689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2:31" x14ac:dyDescent="0.25">
      <c r="B90" s="4">
        <v>90</v>
      </c>
      <c r="C90" s="4">
        <v>6</v>
      </c>
      <c r="D90" s="4">
        <v>1</v>
      </c>
      <c r="E90" s="4" t="s">
        <v>690</v>
      </c>
      <c r="F90" s="4"/>
      <c r="G90" s="35" t="s">
        <v>691</v>
      </c>
      <c r="H90" s="35" t="s">
        <v>692</v>
      </c>
      <c r="I90" s="35" t="s">
        <v>693</v>
      </c>
      <c r="J90" s="35" t="s">
        <v>694</v>
      </c>
      <c r="K90" s="4"/>
      <c r="L90" s="4"/>
      <c r="M90" s="4"/>
      <c r="N90" s="4"/>
      <c r="O90" s="4"/>
      <c r="P90" s="4" t="s">
        <v>255</v>
      </c>
      <c r="Q90" s="4" t="s">
        <v>695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2:31" x14ac:dyDescent="0.25">
      <c r="B91" s="4">
        <v>91</v>
      </c>
      <c r="C91" s="4">
        <v>6</v>
      </c>
      <c r="D91" s="4">
        <v>1</v>
      </c>
      <c r="E91" s="4" t="s">
        <v>696</v>
      </c>
      <c r="F91" s="4"/>
      <c r="G91" s="35" t="s">
        <v>697</v>
      </c>
      <c r="H91" s="35" t="s">
        <v>698</v>
      </c>
      <c r="I91" s="35" t="s">
        <v>699</v>
      </c>
      <c r="J91" s="35" t="s">
        <v>700</v>
      </c>
      <c r="K91" s="4"/>
      <c r="L91" s="4"/>
      <c r="M91" s="4"/>
      <c r="N91" s="4"/>
      <c r="O91" s="4"/>
      <c r="P91" s="4" t="s">
        <v>189</v>
      </c>
      <c r="Q91" s="4" t="s">
        <v>701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2:31" x14ac:dyDescent="0.25">
      <c r="B92" s="4">
        <v>92</v>
      </c>
      <c r="C92" s="4">
        <v>6</v>
      </c>
      <c r="D92" s="4">
        <v>1</v>
      </c>
      <c r="E92" s="4" t="s">
        <v>702</v>
      </c>
      <c r="F92" s="4"/>
      <c r="G92" s="35" t="s">
        <v>703</v>
      </c>
      <c r="H92" s="35" t="s">
        <v>704</v>
      </c>
      <c r="I92" s="35" t="s">
        <v>705</v>
      </c>
      <c r="J92" s="35" t="s">
        <v>706</v>
      </c>
      <c r="K92" s="4"/>
      <c r="L92" s="4"/>
      <c r="M92" s="4"/>
      <c r="N92" s="4"/>
      <c r="O92" s="4"/>
      <c r="P92" s="4" t="s">
        <v>189</v>
      </c>
      <c r="Q92" s="4" t="s">
        <v>707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2:31" x14ac:dyDescent="0.25">
      <c r="B93" s="4">
        <v>93</v>
      </c>
      <c r="C93" s="4">
        <v>6</v>
      </c>
      <c r="D93" s="4">
        <v>1</v>
      </c>
      <c r="E93" s="4" t="s">
        <v>708</v>
      </c>
      <c r="F93" s="4"/>
      <c r="G93" s="35" t="s">
        <v>673</v>
      </c>
      <c r="H93" s="35" t="s">
        <v>674</v>
      </c>
      <c r="I93" s="35" t="s">
        <v>709</v>
      </c>
      <c r="J93" s="35" t="s">
        <v>710</v>
      </c>
      <c r="K93" s="4"/>
      <c r="L93" s="4"/>
      <c r="M93" s="4"/>
      <c r="N93" s="4"/>
      <c r="O93" s="4"/>
      <c r="P93" s="4" t="s">
        <v>189</v>
      </c>
      <c r="Q93" s="4" t="s">
        <v>711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2:31" x14ac:dyDescent="0.25">
      <c r="B94" s="4">
        <v>94</v>
      </c>
      <c r="C94" s="4">
        <v>8</v>
      </c>
      <c r="D94" s="4">
        <v>1</v>
      </c>
      <c r="E94" s="4" t="s">
        <v>712</v>
      </c>
      <c r="F94" s="4"/>
      <c r="G94" s="35" t="s">
        <v>713</v>
      </c>
      <c r="H94" s="35" t="s">
        <v>714</v>
      </c>
      <c r="I94" s="35" t="s">
        <v>715</v>
      </c>
      <c r="J94" s="35" t="s">
        <v>716</v>
      </c>
      <c r="K94" s="4"/>
      <c r="L94" s="4"/>
      <c r="M94" s="4"/>
      <c r="N94" s="4"/>
      <c r="O94" s="4"/>
      <c r="P94" s="4" t="s">
        <v>183</v>
      </c>
      <c r="Q94" s="4" t="s">
        <v>717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2:31" x14ac:dyDescent="0.25">
      <c r="B95" s="4">
        <v>95</v>
      </c>
      <c r="C95" s="4">
        <v>8</v>
      </c>
      <c r="D95" s="4">
        <v>1</v>
      </c>
      <c r="E95" s="4" t="s">
        <v>718</v>
      </c>
      <c r="F95" s="4"/>
      <c r="G95" s="35" t="s">
        <v>719</v>
      </c>
      <c r="H95" s="35" t="s">
        <v>720</v>
      </c>
      <c r="I95" s="35" t="s">
        <v>721</v>
      </c>
      <c r="J95" s="35" t="s">
        <v>722</v>
      </c>
      <c r="K95" s="4"/>
      <c r="L95" s="4"/>
      <c r="M95" s="4"/>
      <c r="N95" s="4"/>
      <c r="O95" s="4"/>
      <c r="P95" s="4" t="s">
        <v>189</v>
      </c>
      <c r="Q95" s="4" t="s">
        <v>723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2:31" x14ac:dyDescent="0.25">
      <c r="B96" s="4">
        <v>96</v>
      </c>
      <c r="C96" s="4">
        <v>8</v>
      </c>
      <c r="D96" s="4">
        <v>1</v>
      </c>
      <c r="E96" s="4" t="s">
        <v>724</v>
      </c>
      <c r="F96" s="4"/>
      <c r="G96" s="35" t="s">
        <v>725</v>
      </c>
      <c r="H96" s="35" t="s">
        <v>726</v>
      </c>
      <c r="I96" s="35" t="s">
        <v>727</v>
      </c>
      <c r="J96" s="35" t="s">
        <v>728</v>
      </c>
      <c r="K96" s="4"/>
      <c r="L96" s="4"/>
      <c r="M96" s="4"/>
      <c r="N96" s="4"/>
      <c r="O96" s="4"/>
      <c r="P96" s="4" t="s">
        <v>255</v>
      </c>
      <c r="Q96" s="4" t="s">
        <v>729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2:31" x14ac:dyDescent="0.25">
      <c r="B97" s="4">
        <v>97</v>
      </c>
      <c r="C97" s="4">
        <v>8</v>
      </c>
      <c r="D97" s="4">
        <v>1</v>
      </c>
      <c r="E97" s="4" t="s">
        <v>730</v>
      </c>
      <c r="F97" s="4"/>
      <c r="G97" s="35" t="s">
        <v>731</v>
      </c>
      <c r="H97" s="35" t="s">
        <v>732</v>
      </c>
      <c r="I97" s="35" t="s">
        <v>651</v>
      </c>
      <c r="J97" s="35" t="s">
        <v>733</v>
      </c>
      <c r="K97" s="4"/>
      <c r="L97" s="4"/>
      <c r="M97" s="4"/>
      <c r="N97" s="4"/>
      <c r="O97" s="4"/>
      <c r="P97" s="4" t="s">
        <v>189</v>
      </c>
      <c r="Q97" s="4" t="s">
        <v>734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2:31" x14ac:dyDescent="0.25">
      <c r="B98" s="4">
        <v>98</v>
      </c>
      <c r="C98" s="4">
        <v>8</v>
      </c>
      <c r="D98" s="4">
        <v>1</v>
      </c>
      <c r="E98" s="4" t="s">
        <v>735</v>
      </c>
      <c r="F98" s="4"/>
      <c r="G98" s="35" t="s">
        <v>736</v>
      </c>
      <c r="H98" s="35" t="s">
        <v>737</v>
      </c>
      <c r="I98" s="35" t="s">
        <v>738</v>
      </c>
      <c r="J98" s="35" t="s">
        <v>739</v>
      </c>
      <c r="K98" s="4"/>
      <c r="L98" s="4"/>
      <c r="M98" s="4"/>
      <c r="N98" s="4"/>
      <c r="O98" s="4"/>
      <c r="P98" s="4" t="s">
        <v>189</v>
      </c>
      <c r="Q98" s="4" t="s">
        <v>740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2:31" x14ac:dyDescent="0.25">
      <c r="B99" s="4">
        <v>99</v>
      </c>
      <c r="C99" s="4">
        <v>9</v>
      </c>
      <c r="D99" s="4">
        <v>1</v>
      </c>
      <c r="E99" s="4" t="s">
        <v>741</v>
      </c>
      <c r="F99" s="4"/>
      <c r="G99" s="35" t="s">
        <v>742</v>
      </c>
      <c r="H99" s="35" t="s">
        <v>743</v>
      </c>
      <c r="I99" s="35" t="s">
        <v>744</v>
      </c>
      <c r="J99" s="35" t="s">
        <v>745</v>
      </c>
      <c r="K99" s="4"/>
      <c r="L99" s="4"/>
      <c r="M99" s="4"/>
      <c r="N99" s="4"/>
      <c r="O99" s="4"/>
      <c r="P99" s="4" t="s">
        <v>183</v>
      </c>
      <c r="Q99" s="4" t="s">
        <v>746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2:31" x14ac:dyDescent="0.25">
      <c r="B100" s="4">
        <v>100</v>
      </c>
      <c r="C100" s="4">
        <v>9</v>
      </c>
      <c r="D100" s="4">
        <v>1</v>
      </c>
      <c r="E100" s="4" t="s">
        <v>747</v>
      </c>
      <c r="F100" s="4"/>
      <c r="G100" s="35" t="s">
        <v>748</v>
      </c>
      <c r="H100" s="35" t="s">
        <v>749</v>
      </c>
      <c r="I100" s="35" t="s">
        <v>750</v>
      </c>
      <c r="J100" s="35" t="s">
        <v>751</v>
      </c>
      <c r="K100" s="4"/>
      <c r="L100" s="4"/>
      <c r="M100" s="4"/>
      <c r="N100" s="4"/>
      <c r="O100" s="4"/>
      <c r="P100" s="4" t="s">
        <v>189</v>
      </c>
      <c r="Q100" s="4" t="s">
        <v>752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2:31" x14ac:dyDescent="0.25">
      <c r="B101" s="4">
        <v>101</v>
      </c>
      <c r="C101" s="4">
        <v>9</v>
      </c>
      <c r="D101" s="4">
        <v>1</v>
      </c>
      <c r="E101" s="4" t="s">
        <v>753</v>
      </c>
      <c r="F101" s="4"/>
      <c r="G101" s="35" t="s">
        <v>754</v>
      </c>
      <c r="H101" s="35" t="s">
        <v>755</v>
      </c>
      <c r="I101" s="35" t="s">
        <v>756</v>
      </c>
      <c r="J101" s="35" t="s">
        <v>757</v>
      </c>
      <c r="K101" s="4"/>
      <c r="L101" s="4"/>
      <c r="M101" s="4"/>
      <c r="N101" s="4"/>
      <c r="O101" s="4"/>
      <c r="P101" s="4" t="s">
        <v>207</v>
      </c>
      <c r="Q101" s="4" t="s">
        <v>758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2:31" x14ac:dyDescent="0.25">
      <c r="B102" s="4">
        <v>102</v>
      </c>
      <c r="C102" s="4">
        <v>9</v>
      </c>
      <c r="D102" s="4">
        <v>1</v>
      </c>
      <c r="E102" s="4" t="s">
        <v>759</v>
      </c>
      <c r="F102" s="4"/>
      <c r="G102" s="35" t="s">
        <v>760</v>
      </c>
      <c r="H102" s="35" t="s">
        <v>674</v>
      </c>
      <c r="I102" s="35" t="s">
        <v>597</v>
      </c>
      <c r="J102" s="35" t="s">
        <v>761</v>
      </c>
      <c r="K102" s="4"/>
      <c r="L102" s="4"/>
      <c r="M102" s="4"/>
      <c r="N102" s="4"/>
      <c r="O102" s="4"/>
      <c r="P102" s="4" t="s">
        <v>189</v>
      </c>
      <c r="Q102" s="4" t="s">
        <v>762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2:31" x14ac:dyDescent="0.25">
      <c r="B103" s="4">
        <v>103</v>
      </c>
      <c r="C103" s="4">
        <v>9</v>
      </c>
      <c r="D103" s="4">
        <v>1</v>
      </c>
      <c r="E103" s="4" t="s">
        <v>763</v>
      </c>
      <c r="F103" s="4"/>
      <c r="G103" s="35" t="s">
        <v>764</v>
      </c>
      <c r="H103" s="35" t="s">
        <v>765</v>
      </c>
      <c r="I103" s="35" t="s">
        <v>766</v>
      </c>
      <c r="J103" s="35" t="s">
        <v>767</v>
      </c>
      <c r="K103" s="4"/>
      <c r="L103" s="4"/>
      <c r="M103" s="4"/>
      <c r="N103" s="4"/>
      <c r="O103" s="4"/>
      <c r="P103" s="4" t="s">
        <v>189</v>
      </c>
      <c r="Q103" s="4" t="s">
        <v>768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2:31" x14ac:dyDescent="0.25">
      <c r="B104" s="4">
        <v>104</v>
      </c>
      <c r="C104" s="4">
        <v>10</v>
      </c>
      <c r="D104" s="4">
        <v>1</v>
      </c>
      <c r="E104" s="4" t="s">
        <v>769</v>
      </c>
      <c r="F104" s="4"/>
      <c r="G104" s="35" t="s">
        <v>770</v>
      </c>
      <c r="H104" s="35" t="s">
        <v>771</v>
      </c>
      <c r="I104" s="35" t="s">
        <v>772</v>
      </c>
      <c r="J104" s="35" t="s">
        <v>773</v>
      </c>
      <c r="K104" s="4"/>
      <c r="L104" s="4"/>
      <c r="M104" s="4"/>
      <c r="N104" s="4"/>
      <c r="O104" s="4"/>
      <c r="P104" s="4" t="s">
        <v>189</v>
      </c>
      <c r="Q104" s="4" t="s">
        <v>774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2:31" x14ac:dyDescent="0.25">
      <c r="B105" s="4">
        <v>105</v>
      </c>
      <c r="C105" s="4">
        <v>10</v>
      </c>
      <c r="D105" s="4">
        <v>1</v>
      </c>
      <c r="E105" s="4" t="s">
        <v>775</v>
      </c>
      <c r="F105" s="4"/>
      <c r="G105" s="35" t="s">
        <v>776</v>
      </c>
      <c r="H105" s="35" t="s">
        <v>777</v>
      </c>
      <c r="I105" s="35" t="s">
        <v>778</v>
      </c>
      <c r="J105" s="35" t="s">
        <v>779</v>
      </c>
      <c r="K105" s="4"/>
      <c r="L105" s="4"/>
      <c r="M105" s="4"/>
      <c r="N105" s="4"/>
      <c r="O105" s="4"/>
      <c r="P105" s="4" t="s">
        <v>183</v>
      </c>
      <c r="Q105" s="4" t="s">
        <v>780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2:31" x14ac:dyDescent="0.25">
      <c r="B106" s="4">
        <v>106</v>
      </c>
      <c r="C106" s="4">
        <v>10</v>
      </c>
      <c r="D106" s="4">
        <v>1</v>
      </c>
      <c r="E106" s="4" t="s">
        <v>781</v>
      </c>
      <c r="F106" s="4"/>
      <c r="G106" s="35" t="s">
        <v>782</v>
      </c>
      <c r="H106" s="35" t="s">
        <v>783</v>
      </c>
      <c r="I106" s="35" t="s">
        <v>784</v>
      </c>
      <c r="J106" s="35" t="s">
        <v>785</v>
      </c>
      <c r="K106" s="4"/>
      <c r="L106" s="4"/>
      <c r="M106" s="4"/>
      <c r="N106" s="4"/>
      <c r="O106" s="4"/>
      <c r="P106" s="4" t="s">
        <v>189</v>
      </c>
      <c r="Q106" s="4" t="s">
        <v>786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2:31" x14ac:dyDescent="0.25">
      <c r="B107" s="4">
        <v>107</v>
      </c>
      <c r="C107" s="4">
        <v>10</v>
      </c>
      <c r="D107" s="4">
        <v>1</v>
      </c>
      <c r="E107" s="4" t="s">
        <v>787</v>
      </c>
      <c r="F107" s="4"/>
      <c r="G107" s="35" t="s">
        <v>788</v>
      </c>
      <c r="H107" s="35" t="s">
        <v>789</v>
      </c>
      <c r="I107" s="35" t="s">
        <v>790</v>
      </c>
      <c r="J107" s="35" t="s">
        <v>791</v>
      </c>
      <c r="K107" s="4"/>
      <c r="L107" s="4"/>
      <c r="M107" s="4"/>
      <c r="N107" s="4"/>
      <c r="O107" s="4"/>
      <c r="P107" s="4" t="s">
        <v>183</v>
      </c>
      <c r="Q107" s="4" t="s">
        <v>792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2:31" x14ac:dyDescent="0.25">
      <c r="B108" s="4">
        <v>108</v>
      </c>
      <c r="C108" s="4">
        <v>10</v>
      </c>
      <c r="D108" s="4">
        <v>1</v>
      </c>
      <c r="E108" s="4" t="s">
        <v>793</v>
      </c>
      <c r="F108" s="4"/>
      <c r="G108" s="35" t="s">
        <v>794</v>
      </c>
      <c r="H108" s="35" t="s">
        <v>795</v>
      </c>
      <c r="I108" s="35" t="s">
        <v>796</v>
      </c>
      <c r="J108" s="35" t="s">
        <v>797</v>
      </c>
      <c r="K108" s="4"/>
      <c r="L108" s="4"/>
      <c r="M108" s="4"/>
      <c r="N108" s="4"/>
      <c r="O108" s="4"/>
      <c r="P108" s="4" t="s">
        <v>183</v>
      </c>
      <c r="Q108" s="4" t="s">
        <v>798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2:31" x14ac:dyDescent="0.25">
      <c r="B109" s="4">
        <v>109</v>
      </c>
      <c r="C109" s="4">
        <v>11</v>
      </c>
      <c r="D109" s="4">
        <v>1</v>
      </c>
      <c r="E109" s="4" t="s">
        <v>799</v>
      </c>
      <c r="F109" s="4"/>
      <c r="G109" s="35" t="s">
        <v>800</v>
      </c>
      <c r="H109" s="35" t="s">
        <v>801</v>
      </c>
      <c r="I109" s="35" t="s">
        <v>802</v>
      </c>
      <c r="J109" s="35" t="s">
        <v>803</v>
      </c>
      <c r="K109" s="4"/>
      <c r="L109" s="4"/>
      <c r="M109" s="4"/>
      <c r="N109" s="4"/>
      <c r="O109" s="4"/>
      <c r="P109" s="4" t="s">
        <v>183</v>
      </c>
      <c r="Q109" s="4" t="s">
        <v>804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2:31" x14ac:dyDescent="0.25">
      <c r="B110" s="4">
        <v>110</v>
      </c>
      <c r="C110" s="4">
        <v>11</v>
      </c>
      <c r="D110" s="4">
        <v>1</v>
      </c>
      <c r="E110" s="4" t="s">
        <v>805</v>
      </c>
      <c r="F110" s="4"/>
      <c r="G110" s="35" t="s">
        <v>806</v>
      </c>
      <c r="H110" s="35" t="s">
        <v>807</v>
      </c>
      <c r="I110" s="35" t="s">
        <v>808</v>
      </c>
      <c r="J110" s="35" t="s">
        <v>809</v>
      </c>
      <c r="K110" s="4"/>
      <c r="L110" s="4"/>
      <c r="M110" s="4"/>
      <c r="N110" s="4"/>
      <c r="O110" s="4"/>
      <c r="P110" s="4" t="s">
        <v>189</v>
      </c>
      <c r="Q110" s="4" t="s">
        <v>810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2:31" x14ac:dyDescent="0.25">
      <c r="B111" s="4">
        <v>111</v>
      </c>
      <c r="C111" s="4">
        <v>11</v>
      </c>
      <c r="D111" s="4">
        <v>1</v>
      </c>
      <c r="E111" s="4" t="s">
        <v>811</v>
      </c>
      <c r="F111" s="4"/>
      <c r="G111" s="35" t="s">
        <v>812</v>
      </c>
      <c r="H111" s="35" t="s">
        <v>813</v>
      </c>
      <c r="I111" s="35" t="s">
        <v>814</v>
      </c>
      <c r="J111" s="35" t="s">
        <v>815</v>
      </c>
      <c r="K111" s="4"/>
      <c r="L111" s="4"/>
      <c r="M111" s="4"/>
      <c r="N111" s="4"/>
      <c r="O111" s="4"/>
      <c r="P111" s="4" t="s">
        <v>189</v>
      </c>
      <c r="Q111" s="4" t="s">
        <v>816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2:31" x14ac:dyDescent="0.25">
      <c r="B112" s="4">
        <v>112</v>
      </c>
      <c r="C112" s="4">
        <v>11</v>
      </c>
      <c r="D112" s="4">
        <v>1</v>
      </c>
      <c r="E112" s="4" t="s">
        <v>817</v>
      </c>
      <c r="F112" s="4"/>
      <c r="G112" s="35" t="s">
        <v>551</v>
      </c>
      <c r="H112" s="35" t="s">
        <v>569</v>
      </c>
      <c r="I112" s="35" t="s">
        <v>818</v>
      </c>
      <c r="J112" s="35" t="s">
        <v>819</v>
      </c>
      <c r="K112" s="4"/>
      <c r="L112" s="4"/>
      <c r="M112" s="4"/>
      <c r="N112" s="4"/>
      <c r="O112" s="4"/>
      <c r="P112" s="4" t="s">
        <v>255</v>
      </c>
      <c r="Q112" s="4" t="s">
        <v>820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2:31" x14ac:dyDescent="0.25">
      <c r="B113" s="4">
        <v>113</v>
      </c>
      <c r="C113" s="4">
        <v>11</v>
      </c>
      <c r="D113" s="4">
        <v>1</v>
      </c>
      <c r="E113" s="4" t="s">
        <v>821</v>
      </c>
      <c r="F113" s="4"/>
      <c r="G113" s="35" t="s">
        <v>822</v>
      </c>
      <c r="H113" s="35" t="s">
        <v>823</v>
      </c>
      <c r="I113" s="35" t="s">
        <v>824</v>
      </c>
      <c r="J113" s="35" t="s">
        <v>825</v>
      </c>
      <c r="K113" s="4"/>
      <c r="L113" s="4"/>
      <c r="M113" s="4"/>
      <c r="N113" s="4"/>
      <c r="O113" s="4"/>
      <c r="P113" s="4" t="s">
        <v>183</v>
      </c>
      <c r="Q113" s="4" t="s">
        <v>826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2:31" x14ac:dyDescent="0.25">
      <c r="B114" s="4">
        <v>114</v>
      </c>
      <c r="C114" s="4">
        <v>12</v>
      </c>
      <c r="D114" s="4">
        <v>1</v>
      </c>
      <c r="E114" s="4" t="s">
        <v>827</v>
      </c>
      <c r="F114" s="4"/>
      <c r="G114" s="35" t="s">
        <v>828</v>
      </c>
      <c r="H114" s="35" t="s">
        <v>829</v>
      </c>
      <c r="I114" s="35" t="s">
        <v>830</v>
      </c>
      <c r="J114" s="35" t="s">
        <v>831</v>
      </c>
      <c r="K114" s="4"/>
      <c r="L114" s="4"/>
      <c r="M114" s="4"/>
      <c r="N114" s="4"/>
      <c r="O114" s="4"/>
      <c r="P114" s="4" t="s">
        <v>183</v>
      </c>
      <c r="Q114" s="4" t="s">
        <v>832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2:31" x14ac:dyDescent="0.25">
      <c r="B115" s="4">
        <v>115</v>
      </c>
      <c r="C115" s="4">
        <v>12</v>
      </c>
      <c r="D115" s="4">
        <v>1</v>
      </c>
      <c r="E115" s="4" t="s">
        <v>833</v>
      </c>
      <c r="F115" s="4"/>
      <c r="G115" s="35" t="s">
        <v>834</v>
      </c>
      <c r="H115" s="35" t="s">
        <v>835</v>
      </c>
      <c r="I115" s="35" t="s">
        <v>836</v>
      </c>
      <c r="J115" s="35" t="s">
        <v>837</v>
      </c>
      <c r="K115" s="4"/>
      <c r="L115" s="4"/>
      <c r="M115" s="4"/>
      <c r="N115" s="4"/>
      <c r="O115" s="4"/>
      <c r="P115" s="4" t="s">
        <v>183</v>
      </c>
      <c r="Q115" s="4" t="s">
        <v>838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2:31" x14ac:dyDescent="0.25">
      <c r="B116" s="4">
        <v>116</v>
      </c>
      <c r="C116" s="4">
        <v>12</v>
      </c>
      <c r="D116" s="4">
        <v>1</v>
      </c>
      <c r="E116" s="4" t="s">
        <v>839</v>
      </c>
      <c r="F116" s="4"/>
      <c r="G116" s="35" t="s">
        <v>840</v>
      </c>
      <c r="H116" s="35" t="s">
        <v>841</v>
      </c>
      <c r="I116" s="35" t="s">
        <v>842</v>
      </c>
      <c r="J116" s="35" t="s">
        <v>843</v>
      </c>
      <c r="K116" s="4"/>
      <c r="L116" s="4"/>
      <c r="M116" s="4"/>
      <c r="N116" s="4"/>
      <c r="O116" s="4"/>
      <c r="P116" s="4" t="s">
        <v>183</v>
      </c>
      <c r="Q116" s="4" t="s">
        <v>844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2:31" x14ac:dyDescent="0.25">
      <c r="B117" s="4">
        <v>117</v>
      </c>
      <c r="C117" s="4">
        <v>12</v>
      </c>
      <c r="D117" s="4">
        <v>1</v>
      </c>
      <c r="E117" s="4" t="s">
        <v>845</v>
      </c>
      <c r="F117" s="4"/>
      <c r="G117" s="35" t="s">
        <v>846</v>
      </c>
      <c r="H117" s="35" t="s">
        <v>847</v>
      </c>
      <c r="I117" s="35" t="s">
        <v>848</v>
      </c>
      <c r="J117" s="35" t="s">
        <v>849</v>
      </c>
      <c r="K117" s="4"/>
      <c r="L117" s="4"/>
      <c r="M117" s="4"/>
      <c r="N117" s="4"/>
      <c r="O117" s="4"/>
      <c r="P117" s="4" t="s">
        <v>189</v>
      </c>
      <c r="Q117" s="4" t="s">
        <v>850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2:31" x14ac:dyDescent="0.25">
      <c r="B118" s="4">
        <v>118</v>
      </c>
      <c r="C118" s="4">
        <v>12</v>
      </c>
      <c r="D118" s="4">
        <v>1</v>
      </c>
      <c r="E118" s="4" t="s">
        <v>851</v>
      </c>
      <c r="F118" s="4"/>
      <c r="G118" s="35" t="s">
        <v>852</v>
      </c>
      <c r="H118" s="35" t="s">
        <v>853</v>
      </c>
      <c r="I118" s="35" t="s">
        <v>854</v>
      </c>
      <c r="J118" s="35" t="s">
        <v>855</v>
      </c>
      <c r="K118" s="4"/>
      <c r="L118" s="4"/>
      <c r="M118" s="4"/>
      <c r="N118" s="4"/>
      <c r="O118" s="4"/>
      <c r="P118" s="4" t="s">
        <v>255</v>
      </c>
      <c r="Q118" s="4" t="s">
        <v>856</v>
      </c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2:31" x14ac:dyDescent="0.25">
      <c r="B119" s="4">
        <v>119</v>
      </c>
      <c r="C119" s="4">
        <v>13</v>
      </c>
      <c r="D119" s="4">
        <v>1</v>
      </c>
      <c r="E119" s="4" t="s">
        <v>857</v>
      </c>
      <c r="F119" s="4"/>
      <c r="G119" s="35" t="s">
        <v>858</v>
      </c>
      <c r="H119" s="35" t="s">
        <v>859</v>
      </c>
      <c r="I119" s="35" t="s">
        <v>860</v>
      </c>
      <c r="J119" s="35" t="s">
        <v>861</v>
      </c>
      <c r="K119" s="4"/>
      <c r="L119" s="4"/>
      <c r="M119" s="4"/>
      <c r="N119" s="4"/>
      <c r="O119" s="4"/>
      <c r="P119" s="4" t="s">
        <v>189</v>
      </c>
      <c r="Q119" s="4" t="s">
        <v>862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2:31" x14ac:dyDescent="0.25">
      <c r="B120" s="4">
        <v>120</v>
      </c>
      <c r="C120" s="4">
        <v>13</v>
      </c>
      <c r="D120" s="4">
        <v>1</v>
      </c>
      <c r="E120" s="4" t="s">
        <v>863</v>
      </c>
      <c r="F120" s="4"/>
      <c r="G120" s="35" t="s">
        <v>864</v>
      </c>
      <c r="H120" s="35" t="s">
        <v>865</v>
      </c>
      <c r="I120" s="35" t="s">
        <v>866</v>
      </c>
      <c r="J120" s="35" t="s">
        <v>867</v>
      </c>
      <c r="K120" s="4"/>
      <c r="L120" s="4"/>
      <c r="M120" s="4"/>
      <c r="N120" s="4"/>
      <c r="O120" s="4"/>
      <c r="P120" s="4" t="s">
        <v>183</v>
      </c>
      <c r="Q120" s="4" t="s">
        <v>868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2:31" x14ac:dyDescent="0.25">
      <c r="B121" s="4">
        <v>121</v>
      </c>
      <c r="C121" s="4">
        <v>13</v>
      </c>
      <c r="D121" s="4">
        <v>1</v>
      </c>
      <c r="E121" s="4" t="s">
        <v>869</v>
      </c>
      <c r="F121" s="4"/>
      <c r="G121" s="35" t="s">
        <v>870</v>
      </c>
      <c r="H121" s="35" t="s">
        <v>871</v>
      </c>
      <c r="I121" s="35" t="s">
        <v>872</v>
      </c>
      <c r="J121" s="35" t="s">
        <v>873</v>
      </c>
      <c r="K121" s="4"/>
      <c r="L121" s="4"/>
      <c r="M121" s="4"/>
      <c r="N121" s="4"/>
      <c r="O121" s="4"/>
      <c r="P121" s="4" t="s">
        <v>189</v>
      </c>
      <c r="Q121" s="4" t="s">
        <v>874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2:31" x14ac:dyDescent="0.25">
      <c r="B122" s="4">
        <v>122</v>
      </c>
      <c r="C122" s="4">
        <v>13</v>
      </c>
      <c r="D122" s="4">
        <v>1</v>
      </c>
      <c r="E122" s="4" t="s">
        <v>875</v>
      </c>
      <c r="F122" s="4"/>
      <c r="G122" s="35" t="s">
        <v>876</v>
      </c>
      <c r="H122" s="35" t="s">
        <v>877</v>
      </c>
      <c r="I122" s="35" t="s">
        <v>878</v>
      </c>
      <c r="J122" s="35" t="s">
        <v>879</v>
      </c>
      <c r="K122" s="4"/>
      <c r="L122" s="4"/>
      <c r="M122" s="4"/>
      <c r="N122" s="4"/>
      <c r="O122" s="4"/>
      <c r="P122" s="4" t="s">
        <v>189</v>
      </c>
      <c r="Q122" s="4" t="s">
        <v>880</v>
      </c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2:31" x14ac:dyDescent="0.25">
      <c r="B123" s="4">
        <v>123</v>
      </c>
      <c r="C123" s="4">
        <v>13</v>
      </c>
      <c r="D123" s="4">
        <v>1</v>
      </c>
      <c r="E123" s="4" t="s">
        <v>881</v>
      </c>
      <c r="F123" s="4"/>
      <c r="G123" s="35" t="s">
        <v>882</v>
      </c>
      <c r="H123" s="35" t="s">
        <v>883</v>
      </c>
      <c r="I123" s="35" t="s">
        <v>884</v>
      </c>
      <c r="J123" s="35" t="s">
        <v>885</v>
      </c>
      <c r="K123" s="4"/>
      <c r="L123" s="4"/>
      <c r="M123" s="4"/>
      <c r="N123" s="4"/>
      <c r="O123" s="4"/>
      <c r="P123" s="4" t="s">
        <v>189</v>
      </c>
      <c r="Q123" s="4" t="s">
        <v>886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2:31" x14ac:dyDescent="0.25">
      <c r="B124" s="4">
        <v>124</v>
      </c>
      <c r="C124" s="4">
        <v>14</v>
      </c>
      <c r="D124" s="4">
        <v>1</v>
      </c>
      <c r="E124" s="4" t="s">
        <v>887</v>
      </c>
      <c r="F124" s="4"/>
      <c r="G124" s="35" t="s">
        <v>888</v>
      </c>
      <c r="H124" s="35" t="s">
        <v>889</v>
      </c>
      <c r="I124" s="35" t="s">
        <v>890</v>
      </c>
      <c r="J124" s="35" t="s">
        <v>891</v>
      </c>
      <c r="K124" s="4"/>
      <c r="L124" s="4"/>
      <c r="M124" s="4"/>
      <c r="N124" s="4"/>
      <c r="O124" s="4"/>
      <c r="P124" s="4" t="s">
        <v>189</v>
      </c>
      <c r="Q124" s="4" t="s">
        <v>892</v>
      </c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2:31" x14ac:dyDescent="0.25">
      <c r="B125" s="4">
        <v>125</v>
      </c>
      <c r="C125" s="4">
        <v>14</v>
      </c>
      <c r="D125" s="4">
        <v>1</v>
      </c>
      <c r="E125" s="4" t="s">
        <v>893</v>
      </c>
      <c r="F125" s="4"/>
      <c r="G125" s="35" t="s">
        <v>894</v>
      </c>
      <c r="H125" s="35" t="s">
        <v>895</v>
      </c>
      <c r="I125" s="35" t="s">
        <v>896</v>
      </c>
      <c r="J125" s="35" t="s">
        <v>897</v>
      </c>
      <c r="K125" s="4"/>
      <c r="L125" s="4"/>
      <c r="M125" s="4"/>
      <c r="N125" s="4"/>
      <c r="O125" s="4"/>
      <c r="P125" s="4" t="s">
        <v>189</v>
      </c>
      <c r="Q125" s="4" t="s">
        <v>898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2:31" x14ac:dyDescent="0.25">
      <c r="B126" s="4">
        <v>126</v>
      </c>
      <c r="C126" s="4">
        <v>14</v>
      </c>
      <c r="D126" s="4">
        <v>1</v>
      </c>
      <c r="E126" s="4" t="s">
        <v>899</v>
      </c>
      <c r="F126" s="4"/>
      <c r="G126" s="35" t="s">
        <v>900</v>
      </c>
      <c r="H126" s="35" t="s">
        <v>901</v>
      </c>
      <c r="I126" s="35" t="s">
        <v>902</v>
      </c>
      <c r="J126" s="35" t="s">
        <v>903</v>
      </c>
      <c r="K126" s="4"/>
      <c r="L126" s="4"/>
      <c r="M126" s="4"/>
      <c r="N126" s="4"/>
      <c r="O126" s="4"/>
      <c r="P126" s="4" t="s">
        <v>207</v>
      </c>
      <c r="Q126" s="4" t="s">
        <v>904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2:31" x14ac:dyDescent="0.25">
      <c r="B127" s="4">
        <v>128</v>
      </c>
      <c r="C127" s="4">
        <v>14</v>
      </c>
      <c r="D127" s="4">
        <v>1</v>
      </c>
      <c r="E127" s="4" t="s">
        <v>905</v>
      </c>
      <c r="F127" s="4"/>
      <c r="G127" s="35" t="s">
        <v>906</v>
      </c>
      <c r="H127" s="35" t="s">
        <v>907</v>
      </c>
      <c r="I127" s="35" t="s">
        <v>908</v>
      </c>
      <c r="J127" s="35" t="s">
        <v>909</v>
      </c>
      <c r="K127" s="4"/>
      <c r="L127" s="4"/>
      <c r="M127" s="4"/>
      <c r="N127" s="4"/>
      <c r="O127" s="4"/>
      <c r="P127" s="4" t="s">
        <v>189</v>
      </c>
      <c r="Q127" s="4" t="s">
        <v>910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2:31" x14ac:dyDescent="0.25">
      <c r="B128" s="4">
        <v>129</v>
      </c>
      <c r="C128" s="4">
        <v>14</v>
      </c>
      <c r="D128" s="4">
        <v>1</v>
      </c>
      <c r="E128" s="4" t="s">
        <v>911</v>
      </c>
      <c r="F128" s="4"/>
      <c r="G128" s="35" t="s">
        <v>912</v>
      </c>
      <c r="H128" s="35" t="s">
        <v>913</v>
      </c>
      <c r="I128" s="35" t="s">
        <v>914</v>
      </c>
      <c r="J128" s="35" t="s">
        <v>915</v>
      </c>
      <c r="K128" s="4"/>
      <c r="L128" s="4"/>
      <c r="M128" s="4"/>
      <c r="N128" s="4"/>
      <c r="O128" s="4"/>
      <c r="P128" s="4" t="s">
        <v>183</v>
      </c>
      <c r="Q128" s="4" t="s">
        <v>916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2:31" x14ac:dyDescent="0.25">
      <c r="B129" s="4">
        <v>132</v>
      </c>
      <c r="C129" s="4">
        <v>15</v>
      </c>
      <c r="D129" s="4">
        <v>1</v>
      </c>
      <c r="E129" s="4" t="s">
        <v>917</v>
      </c>
      <c r="F129" s="4"/>
      <c r="G129" s="35" t="s">
        <v>918</v>
      </c>
      <c r="H129" s="35" t="s">
        <v>919</v>
      </c>
      <c r="I129" s="35" t="s">
        <v>920</v>
      </c>
      <c r="J129" s="35" t="s">
        <v>921</v>
      </c>
      <c r="K129" s="4"/>
      <c r="L129" s="4"/>
      <c r="M129" s="4"/>
      <c r="N129" s="4"/>
      <c r="O129" s="4"/>
      <c r="P129" s="4" t="s">
        <v>189</v>
      </c>
      <c r="Q129" s="4" t="s">
        <v>922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2:31" x14ac:dyDescent="0.25">
      <c r="B130" s="4">
        <v>133</v>
      </c>
      <c r="C130" s="4">
        <v>15</v>
      </c>
      <c r="D130" s="4">
        <v>1</v>
      </c>
      <c r="E130" s="4" t="s">
        <v>923</v>
      </c>
      <c r="F130" s="4"/>
      <c r="G130" s="35" t="s">
        <v>924</v>
      </c>
      <c r="H130" s="35" t="s">
        <v>925</v>
      </c>
      <c r="I130" s="35" t="s">
        <v>926</v>
      </c>
      <c r="J130" s="35" t="s">
        <v>927</v>
      </c>
      <c r="K130" s="4"/>
      <c r="L130" s="4"/>
      <c r="M130" s="4"/>
      <c r="N130" s="4"/>
      <c r="O130" s="4"/>
      <c r="P130" s="4" t="s">
        <v>189</v>
      </c>
      <c r="Q130" s="4" t="s">
        <v>928</v>
      </c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2:31" x14ac:dyDescent="0.25">
      <c r="B131" s="4">
        <v>134</v>
      </c>
      <c r="C131" s="4">
        <v>15</v>
      </c>
      <c r="D131" s="4">
        <v>1</v>
      </c>
      <c r="E131" s="4" t="s">
        <v>929</v>
      </c>
      <c r="F131" s="4"/>
      <c r="G131" s="35" t="s">
        <v>930</v>
      </c>
      <c r="H131" s="35" t="s">
        <v>931</v>
      </c>
      <c r="I131" s="35" t="s">
        <v>932</v>
      </c>
      <c r="J131" s="35" t="s">
        <v>933</v>
      </c>
      <c r="K131" s="4"/>
      <c r="L131" s="4"/>
      <c r="M131" s="4"/>
      <c r="N131" s="4"/>
      <c r="O131" s="4"/>
      <c r="P131" s="4" t="s">
        <v>189</v>
      </c>
      <c r="Q131" s="4" t="s">
        <v>934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2:31" x14ac:dyDescent="0.25">
      <c r="B132" s="4">
        <v>135</v>
      </c>
      <c r="C132" s="4">
        <v>15</v>
      </c>
      <c r="D132" s="4">
        <v>1</v>
      </c>
      <c r="E132" s="4" t="s">
        <v>935</v>
      </c>
      <c r="F132" s="4"/>
      <c r="G132" s="35" t="s">
        <v>936</v>
      </c>
      <c r="H132" s="35" t="s">
        <v>937</v>
      </c>
      <c r="I132" s="35" t="s">
        <v>938</v>
      </c>
      <c r="J132" s="35" t="s">
        <v>939</v>
      </c>
      <c r="K132" s="4"/>
      <c r="L132" s="4"/>
      <c r="M132" s="4"/>
      <c r="N132" s="4"/>
      <c r="O132" s="4"/>
      <c r="P132" s="4" t="s">
        <v>183</v>
      </c>
      <c r="Q132" s="4" t="s">
        <v>940</v>
      </c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2:31" x14ac:dyDescent="0.25">
      <c r="B133" s="4">
        <v>136</v>
      </c>
      <c r="C133" s="4">
        <v>15</v>
      </c>
      <c r="D133" s="4">
        <v>1</v>
      </c>
      <c r="E133" s="4" t="s">
        <v>941</v>
      </c>
      <c r="F133" s="4"/>
      <c r="G133" s="35" t="s">
        <v>942</v>
      </c>
      <c r="H133" s="35" t="s">
        <v>943</v>
      </c>
      <c r="I133" s="35" t="s">
        <v>944</v>
      </c>
      <c r="J133" s="35" t="s">
        <v>945</v>
      </c>
      <c r="K133" s="4"/>
      <c r="L133" s="4"/>
      <c r="M133" s="4"/>
      <c r="N133" s="4"/>
      <c r="O133" s="4"/>
      <c r="P133" s="4" t="s">
        <v>183</v>
      </c>
      <c r="Q133" s="4" t="s">
        <v>946</v>
      </c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2:31" x14ac:dyDescent="0.25">
      <c r="B134" s="4">
        <v>137</v>
      </c>
      <c r="C134" s="4">
        <v>27</v>
      </c>
      <c r="D134" s="4">
        <v>2</v>
      </c>
      <c r="E134" s="4" t="s">
        <v>947</v>
      </c>
      <c r="F134" s="4"/>
      <c r="G134" s="35" t="s">
        <v>948</v>
      </c>
      <c r="H134" s="35" t="s">
        <v>949</v>
      </c>
      <c r="I134" s="35" t="s">
        <v>950</v>
      </c>
      <c r="J134" s="35" t="s">
        <v>951</v>
      </c>
      <c r="K134" s="4"/>
      <c r="L134" s="4"/>
      <c r="M134" s="4"/>
      <c r="N134" s="4"/>
      <c r="O134" s="4"/>
      <c r="P134" s="4" t="s">
        <v>183</v>
      </c>
      <c r="Q134" s="4"/>
      <c r="R134" s="4"/>
      <c r="S134" s="4"/>
      <c r="T134" s="4">
        <v>1</v>
      </c>
      <c r="U134" s="4">
        <v>1.1000000000000001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2:31" x14ac:dyDescent="0.25">
      <c r="B135" s="4">
        <v>138</v>
      </c>
      <c r="C135" s="4">
        <v>27</v>
      </c>
      <c r="D135" s="4">
        <v>2</v>
      </c>
      <c r="E135" s="4" t="s">
        <v>952</v>
      </c>
      <c r="F135" s="4"/>
      <c r="G135" s="35" t="s">
        <v>953</v>
      </c>
      <c r="H135" s="35" t="s">
        <v>954</v>
      </c>
      <c r="I135" s="35" t="s">
        <v>955</v>
      </c>
      <c r="J135" s="35" t="s">
        <v>956</v>
      </c>
      <c r="K135" s="4"/>
      <c r="L135" s="4"/>
      <c r="M135" s="4"/>
      <c r="N135" s="4"/>
      <c r="O135" s="4"/>
      <c r="P135" s="4" t="s">
        <v>183</v>
      </c>
      <c r="Q135" s="4"/>
      <c r="R135" s="4"/>
      <c r="S135" s="4"/>
      <c r="T135" s="4">
        <v>1</v>
      </c>
      <c r="U135" s="4">
        <v>1.1000000000000001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2:31" x14ac:dyDescent="0.25">
      <c r="B136" s="4">
        <v>139</v>
      </c>
      <c r="C136" s="4">
        <v>27</v>
      </c>
      <c r="D136" s="4">
        <v>2</v>
      </c>
      <c r="E136" s="4" t="s">
        <v>957</v>
      </c>
      <c r="F136" s="4"/>
      <c r="G136" s="35" t="s">
        <v>958</v>
      </c>
      <c r="H136" s="35" t="s">
        <v>959</v>
      </c>
      <c r="I136" s="35" t="s">
        <v>960</v>
      </c>
      <c r="J136" s="35" t="s">
        <v>961</v>
      </c>
      <c r="K136" s="4"/>
      <c r="L136" s="4"/>
      <c r="M136" s="4"/>
      <c r="N136" s="4"/>
      <c r="O136" s="4"/>
      <c r="P136" s="4" t="s">
        <v>207</v>
      </c>
      <c r="Q136" s="4"/>
      <c r="R136" s="4"/>
      <c r="S136" s="4"/>
      <c r="T136" s="4">
        <v>1</v>
      </c>
      <c r="U136" s="4">
        <v>1.1000000000000001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2:31" ht="30" x14ac:dyDescent="0.25">
      <c r="B137" s="5">
        <v>140</v>
      </c>
      <c r="C137" s="5">
        <v>27</v>
      </c>
      <c r="D137" s="5">
        <v>2</v>
      </c>
      <c r="E137" s="5" t="s">
        <v>962</v>
      </c>
      <c r="F137" s="4"/>
      <c r="G137" s="36" t="s">
        <v>1082</v>
      </c>
      <c r="H137" s="36" t="s">
        <v>1189</v>
      </c>
      <c r="I137" s="36" t="s">
        <v>1294</v>
      </c>
      <c r="J137" s="36" t="s">
        <v>961</v>
      </c>
      <c r="K137" s="4"/>
      <c r="L137" s="4"/>
      <c r="M137" s="4"/>
      <c r="N137" s="4"/>
      <c r="O137" s="4"/>
      <c r="P137" s="2" t="s">
        <v>189</v>
      </c>
      <c r="Q137" s="4"/>
      <c r="R137" s="4"/>
      <c r="S137" s="4"/>
      <c r="T137" s="4">
        <v>1</v>
      </c>
      <c r="U137" s="2">
        <v>1.2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2:31" x14ac:dyDescent="0.25">
      <c r="B138" s="5">
        <v>141</v>
      </c>
      <c r="C138" s="5">
        <v>27</v>
      </c>
      <c r="D138" s="5">
        <v>2</v>
      </c>
      <c r="E138" s="5" t="s">
        <v>963</v>
      </c>
      <c r="F138" s="4"/>
      <c r="G138" s="36" t="s">
        <v>1083</v>
      </c>
      <c r="H138" s="36" t="s">
        <v>1190</v>
      </c>
      <c r="I138" s="36" t="s">
        <v>1295</v>
      </c>
      <c r="J138" s="36" t="s">
        <v>1404</v>
      </c>
      <c r="K138" s="4"/>
      <c r="L138" s="4"/>
      <c r="M138" s="4"/>
      <c r="N138" s="4"/>
      <c r="O138" s="4"/>
      <c r="P138" s="2" t="s">
        <v>207</v>
      </c>
      <c r="Q138" s="4"/>
      <c r="R138" s="4"/>
      <c r="S138" s="4"/>
      <c r="T138" s="4">
        <v>1</v>
      </c>
      <c r="U138" s="2">
        <v>1.2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2:31" x14ac:dyDescent="0.25">
      <c r="B139" s="5">
        <v>142</v>
      </c>
      <c r="C139" s="5">
        <v>27</v>
      </c>
      <c r="D139" s="5">
        <v>2</v>
      </c>
      <c r="E139" s="5" t="s">
        <v>964</v>
      </c>
      <c r="F139" s="4"/>
      <c r="G139" s="36" t="s">
        <v>1084</v>
      </c>
      <c r="H139" s="36" t="s">
        <v>1191</v>
      </c>
      <c r="I139" s="36" t="s">
        <v>1296</v>
      </c>
      <c r="J139" s="36" t="s">
        <v>961</v>
      </c>
      <c r="K139" s="4"/>
      <c r="L139" s="4"/>
      <c r="M139" s="4"/>
      <c r="N139" s="4"/>
      <c r="O139" s="4"/>
      <c r="P139" s="2" t="s">
        <v>183</v>
      </c>
      <c r="Q139" s="4"/>
      <c r="R139" s="4"/>
      <c r="S139" s="4"/>
      <c r="T139" s="4">
        <v>1</v>
      </c>
      <c r="U139" s="2">
        <v>1.2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2:31" x14ac:dyDescent="0.25">
      <c r="B140" s="5">
        <v>143</v>
      </c>
      <c r="C140" s="5">
        <v>27</v>
      </c>
      <c r="D140" s="5">
        <v>2</v>
      </c>
      <c r="E140" s="5" t="s">
        <v>965</v>
      </c>
      <c r="F140" s="4"/>
      <c r="G140" s="36" t="s">
        <v>1085</v>
      </c>
      <c r="H140" s="36" t="s">
        <v>1192</v>
      </c>
      <c r="I140" s="36" t="s">
        <v>1297</v>
      </c>
      <c r="J140" s="36" t="s">
        <v>961</v>
      </c>
      <c r="K140" s="4"/>
      <c r="L140" s="4"/>
      <c r="M140" s="4"/>
      <c r="N140" s="4"/>
      <c r="O140" s="4"/>
      <c r="P140" s="2" t="s">
        <v>183</v>
      </c>
      <c r="Q140" s="4"/>
      <c r="R140" s="4"/>
      <c r="S140" s="4"/>
      <c r="T140" s="4">
        <v>1</v>
      </c>
      <c r="U140" s="2">
        <v>1.3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2:31" x14ac:dyDescent="0.25">
      <c r="B141" s="5">
        <v>144</v>
      </c>
      <c r="C141" s="5">
        <v>27</v>
      </c>
      <c r="D141" s="5">
        <v>2</v>
      </c>
      <c r="E141" s="5" t="s">
        <v>966</v>
      </c>
      <c r="F141" s="4"/>
      <c r="G141" s="36" t="s">
        <v>1086</v>
      </c>
      <c r="H141" s="36" t="s">
        <v>1193</v>
      </c>
      <c r="I141" s="36" t="s">
        <v>1298</v>
      </c>
      <c r="J141" s="36" t="s">
        <v>1405</v>
      </c>
      <c r="K141" s="4"/>
      <c r="L141" s="4"/>
      <c r="M141" s="4"/>
      <c r="N141" s="4"/>
      <c r="O141" s="4"/>
      <c r="P141" s="2" t="s">
        <v>207</v>
      </c>
      <c r="Q141" s="4"/>
      <c r="R141" s="4"/>
      <c r="S141" s="4"/>
      <c r="T141" s="4">
        <v>1</v>
      </c>
      <c r="U141" s="2">
        <v>1.3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2:31" x14ac:dyDescent="0.25">
      <c r="B142" s="5">
        <v>145</v>
      </c>
      <c r="C142" s="5">
        <v>27</v>
      </c>
      <c r="D142" s="5">
        <v>2</v>
      </c>
      <c r="E142" s="37" t="s">
        <v>967</v>
      </c>
      <c r="F142" s="4"/>
      <c r="G142" s="36" t="s">
        <v>1087</v>
      </c>
      <c r="H142" s="36" t="s">
        <v>1194</v>
      </c>
      <c r="I142" s="36" t="s">
        <v>1299</v>
      </c>
      <c r="J142" s="36" t="s">
        <v>1511</v>
      </c>
      <c r="K142" s="4"/>
      <c r="L142" s="4"/>
      <c r="M142" s="4"/>
      <c r="N142" s="4"/>
      <c r="O142" s="4"/>
      <c r="P142" s="2" t="s">
        <v>255</v>
      </c>
      <c r="Q142" s="4"/>
      <c r="R142" s="4"/>
      <c r="S142" s="4"/>
      <c r="T142" s="4">
        <v>1</v>
      </c>
      <c r="U142" s="2">
        <v>1.3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2:31" ht="30" x14ac:dyDescent="0.25">
      <c r="B143" s="5">
        <v>146</v>
      </c>
      <c r="C143" s="5">
        <v>27</v>
      </c>
      <c r="D143" s="5">
        <v>2</v>
      </c>
      <c r="E143" s="5" t="s">
        <v>968</v>
      </c>
      <c r="F143" s="4"/>
      <c r="G143" s="36" t="s">
        <v>1464</v>
      </c>
      <c r="H143" s="36" t="s">
        <v>1196</v>
      </c>
      <c r="I143" s="36" t="s">
        <v>1301</v>
      </c>
      <c r="J143" s="36" t="s">
        <v>961</v>
      </c>
      <c r="K143" s="4"/>
      <c r="L143" s="4"/>
      <c r="M143" s="4"/>
      <c r="N143" s="4"/>
      <c r="O143" s="4"/>
      <c r="P143" s="2" t="s">
        <v>189</v>
      </c>
      <c r="Q143" s="4"/>
      <c r="R143" s="4"/>
      <c r="S143" s="4"/>
      <c r="T143" s="4">
        <v>1</v>
      </c>
      <c r="U143" s="2">
        <v>1.4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2:31" x14ac:dyDescent="0.25">
      <c r="B144" s="5">
        <v>147</v>
      </c>
      <c r="C144" s="5">
        <v>27</v>
      </c>
      <c r="D144" s="5">
        <v>2</v>
      </c>
      <c r="E144" s="5" t="s">
        <v>969</v>
      </c>
      <c r="F144" s="4"/>
      <c r="G144" s="36" t="s">
        <v>1089</v>
      </c>
      <c r="H144" s="36" t="s">
        <v>1196</v>
      </c>
      <c r="I144" s="36" t="s">
        <v>1301</v>
      </c>
      <c r="J144" s="36" t="s">
        <v>961</v>
      </c>
      <c r="K144" s="4"/>
      <c r="L144" s="4"/>
      <c r="M144" s="4"/>
      <c r="N144" s="4"/>
      <c r="O144" s="4"/>
      <c r="P144" s="2" t="s">
        <v>207</v>
      </c>
      <c r="Q144" s="4"/>
      <c r="R144" s="4"/>
      <c r="S144" s="4"/>
      <c r="T144" s="4">
        <v>1</v>
      </c>
      <c r="U144" s="2">
        <v>1.4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2:31" x14ac:dyDescent="0.25">
      <c r="B145" s="5">
        <v>148</v>
      </c>
      <c r="C145" s="5">
        <v>27</v>
      </c>
      <c r="D145" s="5">
        <v>2</v>
      </c>
      <c r="E145" s="5" t="s">
        <v>970</v>
      </c>
      <c r="F145" s="4"/>
      <c r="G145" s="36" t="s">
        <v>1090</v>
      </c>
      <c r="H145" s="36" t="s">
        <v>1485</v>
      </c>
      <c r="I145" s="36" t="s">
        <v>1302</v>
      </c>
      <c r="J145" s="36" t="s">
        <v>1407</v>
      </c>
      <c r="K145" s="4"/>
      <c r="L145" s="4"/>
      <c r="M145" s="4"/>
      <c r="N145" s="4"/>
      <c r="O145" s="4"/>
      <c r="P145" s="2" t="s">
        <v>255</v>
      </c>
      <c r="Q145" s="4"/>
      <c r="R145" s="4"/>
      <c r="S145" s="4"/>
      <c r="T145" s="4">
        <v>1</v>
      </c>
      <c r="U145" s="2">
        <v>1.4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2:31" x14ac:dyDescent="0.25">
      <c r="B146" s="5">
        <v>149</v>
      </c>
      <c r="C146" s="5">
        <v>27</v>
      </c>
      <c r="D146" s="5">
        <v>2</v>
      </c>
      <c r="E146" s="5" t="s">
        <v>971</v>
      </c>
      <c r="F146" s="4"/>
      <c r="G146" s="36" t="s">
        <v>1091</v>
      </c>
      <c r="H146" s="36" t="s">
        <v>1198</v>
      </c>
      <c r="I146" s="36" t="s">
        <v>1303</v>
      </c>
      <c r="J146" s="36" t="s">
        <v>1408</v>
      </c>
      <c r="K146" s="4"/>
      <c r="L146" s="4"/>
      <c r="M146" s="4"/>
      <c r="N146" s="4"/>
      <c r="O146" s="4"/>
      <c r="P146" s="2" t="s">
        <v>255</v>
      </c>
      <c r="Q146" s="4"/>
      <c r="R146" s="4"/>
      <c r="S146" s="4"/>
      <c r="T146" s="4">
        <v>1</v>
      </c>
      <c r="U146" s="2">
        <v>2.1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2:31" x14ac:dyDescent="0.25">
      <c r="B147" s="5">
        <v>150</v>
      </c>
      <c r="C147" s="5">
        <v>27</v>
      </c>
      <c r="D147" s="5">
        <v>2</v>
      </c>
      <c r="E147" s="5" t="s">
        <v>972</v>
      </c>
      <c r="F147" s="4"/>
      <c r="G147" s="36" t="s">
        <v>1093</v>
      </c>
      <c r="H147" s="36" t="s">
        <v>1199</v>
      </c>
      <c r="I147" s="36" t="s">
        <v>1304</v>
      </c>
      <c r="J147" s="36" t="s">
        <v>1409</v>
      </c>
      <c r="K147" s="4"/>
      <c r="L147" s="4"/>
      <c r="M147" s="4"/>
      <c r="N147" s="4"/>
      <c r="O147" s="4"/>
      <c r="P147" s="2" t="s">
        <v>207</v>
      </c>
      <c r="Q147" s="4"/>
      <c r="R147" s="4"/>
      <c r="S147" s="4"/>
      <c r="T147" s="4">
        <v>1</v>
      </c>
      <c r="U147" s="2">
        <v>2.1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2:31" x14ac:dyDescent="0.25">
      <c r="B148" s="5">
        <v>151</v>
      </c>
      <c r="C148" s="5">
        <v>27</v>
      </c>
      <c r="D148" s="5">
        <v>2</v>
      </c>
      <c r="E148" s="5" t="s">
        <v>973</v>
      </c>
      <c r="F148" s="4"/>
      <c r="G148" s="36" t="s">
        <v>1093</v>
      </c>
      <c r="H148" s="36" t="s">
        <v>1199</v>
      </c>
      <c r="I148" s="36" t="s">
        <v>1304</v>
      </c>
      <c r="J148" s="36" t="s">
        <v>961</v>
      </c>
      <c r="K148" s="4"/>
      <c r="L148" s="4"/>
      <c r="M148" s="4"/>
      <c r="N148" s="4"/>
      <c r="O148" s="4"/>
      <c r="P148" s="2" t="s">
        <v>189</v>
      </c>
      <c r="Q148" s="4"/>
      <c r="R148" s="4"/>
      <c r="S148" s="4"/>
      <c r="T148" s="4">
        <v>1</v>
      </c>
      <c r="U148" s="2">
        <v>2.1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2:31" ht="30" x14ac:dyDescent="0.25">
      <c r="B149" s="5">
        <v>152</v>
      </c>
      <c r="C149" s="5">
        <v>27</v>
      </c>
      <c r="D149" s="5">
        <v>2</v>
      </c>
      <c r="E149" s="5" t="s">
        <v>974</v>
      </c>
      <c r="F149" s="4"/>
      <c r="G149" s="36" t="s">
        <v>1094</v>
      </c>
      <c r="H149" s="36" t="s">
        <v>1200</v>
      </c>
      <c r="I149" s="36" t="s">
        <v>1306</v>
      </c>
      <c r="J149" s="36" t="s">
        <v>961</v>
      </c>
      <c r="K149" s="4"/>
      <c r="L149" s="4"/>
      <c r="M149" s="4"/>
      <c r="N149" s="4"/>
      <c r="O149" s="4"/>
      <c r="P149" s="2" t="s">
        <v>183</v>
      </c>
      <c r="Q149" s="4"/>
      <c r="R149" s="4"/>
      <c r="S149" s="4"/>
      <c r="T149" s="4">
        <v>1</v>
      </c>
      <c r="U149" s="2">
        <v>2.2000000000000002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2:31" x14ac:dyDescent="0.25">
      <c r="B150" s="5">
        <v>153</v>
      </c>
      <c r="C150" s="5">
        <v>27</v>
      </c>
      <c r="D150" s="5">
        <v>2</v>
      </c>
      <c r="E150" s="37" t="s">
        <v>975</v>
      </c>
      <c r="F150" s="4"/>
      <c r="G150" s="36" t="s">
        <v>1094</v>
      </c>
      <c r="H150" s="36" t="s">
        <v>1200</v>
      </c>
      <c r="I150" s="36" t="s">
        <v>1306</v>
      </c>
      <c r="J150" s="36" t="s">
        <v>1411</v>
      </c>
      <c r="K150" s="4"/>
      <c r="L150" s="4"/>
      <c r="M150" s="4"/>
      <c r="N150" s="4"/>
      <c r="O150" s="4"/>
      <c r="P150" s="2" t="s">
        <v>189</v>
      </c>
      <c r="Q150" s="4"/>
      <c r="R150" s="4"/>
      <c r="S150" s="4"/>
      <c r="T150" s="4">
        <v>1</v>
      </c>
      <c r="U150" s="2">
        <v>2.2000000000000002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2:31" ht="30" x14ac:dyDescent="0.25">
      <c r="B151" s="5">
        <v>154</v>
      </c>
      <c r="C151" s="5">
        <v>27</v>
      </c>
      <c r="D151" s="5">
        <v>2</v>
      </c>
      <c r="E151" s="5" t="s">
        <v>976</v>
      </c>
      <c r="F151" s="4"/>
      <c r="G151" s="36" t="s">
        <v>1094</v>
      </c>
      <c r="H151" s="36" t="s">
        <v>1200</v>
      </c>
      <c r="I151" s="36" t="s">
        <v>1306</v>
      </c>
      <c r="J151" s="36" t="s">
        <v>961</v>
      </c>
      <c r="K151" s="4"/>
      <c r="L151" s="4"/>
      <c r="M151" s="4"/>
      <c r="N151" s="4"/>
      <c r="O151" s="4"/>
      <c r="P151" s="2" t="s">
        <v>207</v>
      </c>
      <c r="Q151" s="4"/>
      <c r="R151" s="4"/>
      <c r="S151" s="4"/>
      <c r="T151" s="4">
        <v>1</v>
      </c>
      <c r="U151" s="2">
        <v>2.2000000000000002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2:31" x14ac:dyDescent="0.25">
      <c r="B152" s="5">
        <v>155</v>
      </c>
      <c r="C152" s="5">
        <v>27</v>
      </c>
      <c r="D152" s="5">
        <v>2</v>
      </c>
      <c r="E152" s="5" t="s">
        <v>977</v>
      </c>
      <c r="F152" s="4"/>
      <c r="G152" s="36" t="s">
        <v>1465</v>
      </c>
      <c r="H152" s="36" t="s">
        <v>1201</v>
      </c>
      <c r="I152" s="36" t="s">
        <v>1308</v>
      </c>
      <c r="J152" s="36" t="s">
        <v>1408</v>
      </c>
      <c r="K152" s="4"/>
      <c r="L152" s="4"/>
      <c r="M152" s="4"/>
      <c r="N152" s="4"/>
      <c r="O152" s="4"/>
      <c r="P152" s="2" t="s">
        <v>255</v>
      </c>
      <c r="Q152" s="4"/>
      <c r="R152" s="4"/>
      <c r="S152" s="4"/>
      <c r="T152" s="4">
        <v>1</v>
      </c>
      <c r="U152" s="2">
        <v>2.2999999999999998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2:31" x14ac:dyDescent="0.25">
      <c r="B153" s="5">
        <v>156</v>
      </c>
      <c r="C153" s="5">
        <v>27</v>
      </c>
      <c r="D153" s="5">
        <v>2</v>
      </c>
      <c r="E153" s="5" t="s">
        <v>978</v>
      </c>
      <c r="F153" s="4"/>
      <c r="G153" s="36" t="s">
        <v>1097</v>
      </c>
      <c r="H153" s="36" t="s">
        <v>1202</v>
      </c>
      <c r="I153" s="36" t="s">
        <v>1309</v>
      </c>
      <c r="J153" s="36" t="s">
        <v>961</v>
      </c>
      <c r="K153" s="4"/>
      <c r="L153" s="4"/>
      <c r="M153" s="4"/>
      <c r="N153" s="4"/>
      <c r="O153" s="4"/>
      <c r="P153" s="2" t="s">
        <v>189</v>
      </c>
      <c r="Q153" s="4"/>
      <c r="R153" s="4"/>
      <c r="S153" s="4"/>
      <c r="T153" s="4">
        <v>1</v>
      </c>
      <c r="U153" s="2">
        <v>2.2999999999999998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2:31" x14ac:dyDescent="0.25">
      <c r="B154" s="5">
        <v>157</v>
      </c>
      <c r="C154" s="5">
        <v>27</v>
      </c>
      <c r="D154" s="5">
        <v>2</v>
      </c>
      <c r="E154" s="5" t="s">
        <v>979</v>
      </c>
      <c r="F154" s="4"/>
      <c r="G154" s="36" t="s">
        <v>1098</v>
      </c>
      <c r="H154" s="36" t="s">
        <v>1203</v>
      </c>
      <c r="I154" s="36" t="s">
        <v>1310</v>
      </c>
      <c r="J154" s="36" t="s">
        <v>961</v>
      </c>
      <c r="K154" s="4"/>
      <c r="L154" s="4"/>
      <c r="M154" s="4"/>
      <c r="N154" s="4"/>
      <c r="O154" s="4"/>
      <c r="P154" s="2" t="s">
        <v>189</v>
      </c>
      <c r="Q154" s="4"/>
      <c r="R154" s="4"/>
      <c r="S154" s="4"/>
      <c r="T154" s="4">
        <v>1</v>
      </c>
      <c r="U154" s="2">
        <v>2.2999999999999998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2:31" x14ac:dyDescent="0.25">
      <c r="B155" s="5">
        <v>158</v>
      </c>
      <c r="C155" s="5">
        <v>27</v>
      </c>
      <c r="D155" s="5">
        <v>2</v>
      </c>
      <c r="E155" s="5" t="s">
        <v>980</v>
      </c>
      <c r="F155" s="4"/>
      <c r="G155" s="36" t="s">
        <v>1099</v>
      </c>
      <c r="H155" s="36" t="s">
        <v>1204</v>
      </c>
      <c r="I155" s="36" t="s">
        <v>1497</v>
      </c>
      <c r="J155" s="36" t="s">
        <v>1413</v>
      </c>
      <c r="K155" s="4"/>
      <c r="L155" s="4"/>
      <c r="M155" s="4"/>
      <c r="N155" s="4"/>
      <c r="O155" s="4"/>
      <c r="P155" s="2" t="s">
        <v>255</v>
      </c>
      <c r="Q155" s="4"/>
      <c r="R155" s="4"/>
      <c r="S155" s="4"/>
      <c r="T155" s="4">
        <v>1</v>
      </c>
      <c r="U155" s="2">
        <v>2.4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2:31" x14ac:dyDescent="0.25">
      <c r="B156" s="5">
        <v>159</v>
      </c>
      <c r="C156" s="5">
        <v>27</v>
      </c>
      <c r="D156" s="5">
        <v>2</v>
      </c>
      <c r="E156" s="5" t="s">
        <v>981</v>
      </c>
      <c r="F156" s="4"/>
      <c r="G156" s="36" t="s">
        <v>1466</v>
      </c>
      <c r="H156" s="36" t="s">
        <v>1205</v>
      </c>
      <c r="I156" s="36" t="s">
        <v>1312</v>
      </c>
      <c r="J156" s="36" t="s">
        <v>1414</v>
      </c>
      <c r="K156" s="4"/>
      <c r="L156" s="4"/>
      <c r="M156" s="4"/>
      <c r="N156" s="4"/>
      <c r="O156" s="4"/>
      <c r="P156" s="2" t="s">
        <v>183</v>
      </c>
      <c r="Q156" s="4"/>
      <c r="R156" s="4"/>
      <c r="S156" s="4"/>
      <c r="T156" s="4">
        <v>1</v>
      </c>
      <c r="U156" s="2">
        <v>2.4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2:31" ht="30" x14ac:dyDescent="0.25">
      <c r="B157" s="5">
        <v>160</v>
      </c>
      <c r="C157" s="5">
        <v>27</v>
      </c>
      <c r="D157" s="5">
        <v>2</v>
      </c>
      <c r="E157" s="5" t="s">
        <v>982</v>
      </c>
      <c r="F157" s="4"/>
      <c r="G157" s="36" t="s">
        <v>1101</v>
      </c>
      <c r="H157" s="36" t="s">
        <v>1206</v>
      </c>
      <c r="I157" s="36" t="s">
        <v>1313</v>
      </c>
      <c r="J157" s="36" t="s">
        <v>1414</v>
      </c>
      <c r="K157" s="4"/>
      <c r="L157" s="4"/>
      <c r="M157" s="4"/>
      <c r="N157" s="4"/>
      <c r="O157" s="4"/>
      <c r="P157" s="2" t="s">
        <v>189</v>
      </c>
      <c r="Q157" s="4"/>
      <c r="R157" s="4"/>
      <c r="S157" s="4"/>
      <c r="T157" s="4">
        <v>1</v>
      </c>
      <c r="U157" s="2">
        <v>2.4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2:31" x14ac:dyDescent="0.25">
      <c r="B158" s="5">
        <v>161</v>
      </c>
      <c r="C158" s="5">
        <v>27</v>
      </c>
      <c r="D158" s="5">
        <v>2</v>
      </c>
      <c r="E158" s="5" t="s">
        <v>983</v>
      </c>
      <c r="F158" s="4"/>
      <c r="G158" s="36" t="s">
        <v>1102</v>
      </c>
      <c r="H158" s="36" t="s">
        <v>1486</v>
      </c>
      <c r="I158" s="36" t="s">
        <v>1498</v>
      </c>
      <c r="J158" s="36" t="s">
        <v>1512</v>
      </c>
      <c r="K158" s="4"/>
      <c r="L158" s="4"/>
      <c r="M158" s="4"/>
      <c r="N158" s="4"/>
      <c r="O158" s="4"/>
      <c r="P158" s="2" t="s">
        <v>255</v>
      </c>
      <c r="Q158" s="4"/>
      <c r="R158" s="4"/>
      <c r="S158" s="4"/>
      <c r="T158" s="4">
        <v>1</v>
      </c>
      <c r="U158" s="2">
        <v>2.5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2:31" x14ac:dyDescent="0.25">
      <c r="B159" s="5">
        <v>162</v>
      </c>
      <c r="C159" s="5">
        <v>27</v>
      </c>
      <c r="D159" s="5">
        <v>2</v>
      </c>
      <c r="E159" s="5" t="s">
        <v>984</v>
      </c>
      <c r="F159" s="4"/>
      <c r="G159" s="36" t="s">
        <v>1467</v>
      </c>
      <c r="H159" s="36" t="s">
        <v>1487</v>
      </c>
      <c r="I159" s="36" t="s">
        <v>1315</v>
      </c>
      <c r="J159" s="36" t="s">
        <v>1414</v>
      </c>
      <c r="K159" s="4"/>
      <c r="L159" s="4"/>
      <c r="M159" s="4"/>
      <c r="N159" s="4"/>
      <c r="O159" s="4"/>
      <c r="P159" s="2" t="s">
        <v>255</v>
      </c>
      <c r="Q159" s="4"/>
      <c r="R159" s="4"/>
      <c r="S159" s="4"/>
      <c r="T159" s="4">
        <v>1</v>
      </c>
      <c r="U159" s="2">
        <v>2.5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2:31" x14ac:dyDescent="0.25">
      <c r="B160" s="5">
        <v>163</v>
      </c>
      <c r="C160" s="5">
        <v>27</v>
      </c>
      <c r="D160" s="5">
        <v>2</v>
      </c>
      <c r="E160" s="5" t="s">
        <v>985</v>
      </c>
      <c r="F160" s="4"/>
      <c r="G160" s="36" t="s">
        <v>1104</v>
      </c>
      <c r="H160" s="36" t="s">
        <v>1488</v>
      </c>
      <c r="I160" s="36" t="s">
        <v>1316</v>
      </c>
      <c r="J160" s="36" t="s">
        <v>1408</v>
      </c>
      <c r="K160" s="4"/>
      <c r="L160" s="4"/>
      <c r="M160" s="4"/>
      <c r="N160" s="4"/>
      <c r="O160" s="4"/>
      <c r="P160" s="2" t="s">
        <v>207</v>
      </c>
      <c r="Q160" s="4"/>
      <c r="R160" s="4"/>
      <c r="S160" s="4"/>
      <c r="T160" s="4">
        <v>1</v>
      </c>
      <c r="U160" s="2">
        <v>2.5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2:31" x14ac:dyDescent="0.25">
      <c r="B161" s="5">
        <v>164</v>
      </c>
      <c r="C161" s="5">
        <v>27</v>
      </c>
      <c r="D161" s="5">
        <v>2</v>
      </c>
      <c r="E161" s="5" t="s">
        <v>986</v>
      </c>
      <c r="F161" s="4"/>
      <c r="G161" s="36" t="s">
        <v>1105</v>
      </c>
      <c r="H161" s="36" t="s">
        <v>1210</v>
      </c>
      <c r="I161" s="36" t="s">
        <v>1499</v>
      </c>
      <c r="J161" s="36" t="s">
        <v>1513</v>
      </c>
      <c r="K161" s="4"/>
      <c r="L161" s="4"/>
      <c r="M161" s="4"/>
      <c r="N161" s="4"/>
      <c r="O161" s="4"/>
      <c r="P161" s="2" t="s">
        <v>189</v>
      </c>
      <c r="Q161" s="4"/>
      <c r="R161" s="4"/>
      <c r="S161" s="4"/>
      <c r="T161" s="4">
        <v>1</v>
      </c>
      <c r="U161" s="2">
        <v>3.1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2:31" x14ac:dyDescent="0.25">
      <c r="B162" s="5">
        <v>165</v>
      </c>
      <c r="C162" s="5">
        <v>27</v>
      </c>
      <c r="D162" s="5">
        <v>2</v>
      </c>
      <c r="E162" s="5" t="s">
        <v>987</v>
      </c>
      <c r="F162" s="4"/>
      <c r="G162" s="36" t="s">
        <v>1105</v>
      </c>
      <c r="H162" s="36" t="s">
        <v>1211</v>
      </c>
      <c r="I162" s="36" t="s">
        <v>1304</v>
      </c>
      <c r="J162" s="36" t="s">
        <v>1418</v>
      </c>
      <c r="K162" s="4"/>
      <c r="L162" s="4"/>
      <c r="M162" s="4"/>
      <c r="N162" s="4"/>
      <c r="O162" s="4"/>
      <c r="P162" s="2" t="s">
        <v>207</v>
      </c>
      <c r="Q162" s="4"/>
      <c r="R162" s="4"/>
      <c r="S162" s="4"/>
      <c r="T162" s="4">
        <v>1</v>
      </c>
      <c r="U162" s="2">
        <v>3.1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2:31" x14ac:dyDescent="0.25">
      <c r="B163" s="5">
        <v>166</v>
      </c>
      <c r="C163" s="5">
        <v>27</v>
      </c>
      <c r="D163" s="5">
        <v>2</v>
      </c>
      <c r="E163" s="5" t="s">
        <v>988</v>
      </c>
      <c r="F163" s="4"/>
      <c r="G163" s="36" t="s">
        <v>1107</v>
      </c>
      <c r="H163" s="36" t="s">
        <v>1212</v>
      </c>
      <c r="I163" s="36" t="s">
        <v>1500</v>
      </c>
      <c r="J163" s="36" t="s">
        <v>1408</v>
      </c>
      <c r="K163" s="4"/>
      <c r="L163" s="4"/>
      <c r="M163" s="4"/>
      <c r="N163" s="4"/>
      <c r="O163" s="4"/>
      <c r="P163" s="2" t="s">
        <v>255</v>
      </c>
      <c r="Q163" s="4"/>
      <c r="R163" s="4"/>
      <c r="S163" s="4"/>
      <c r="T163" s="4">
        <v>1</v>
      </c>
      <c r="U163" s="2">
        <v>3.1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2:31" x14ac:dyDescent="0.25">
      <c r="B164" s="5">
        <v>167</v>
      </c>
      <c r="C164" s="5">
        <v>27</v>
      </c>
      <c r="D164" s="5">
        <v>2</v>
      </c>
      <c r="E164" s="5" t="s">
        <v>989</v>
      </c>
      <c r="F164" s="4"/>
      <c r="G164" s="36" t="s">
        <v>1097</v>
      </c>
      <c r="H164" s="36" t="s">
        <v>1213</v>
      </c>
      <c r="I164" s="36" t="s">
        <v>1319</v>
      </c>
      <c r="J164" s="36" t="s">
        <v>1408</v>
      </c>
      <c r="K164" s="4"/>
      <c r="L164" s="4"/>
      <c r="M164" s="4"/>
      <c r="N164" s="4"/>
      <c r="O164" s="4"/>
      <c r="P164" s="2" t="s">
        <v>183</v>
      </c>
      <c r="Q164" s="4"/>
      <c r="R164" s="4"/>
      <c r="S164" s="4"/>
      <c r="T164" s="4">
        <v>1</v>
      </c>
      <c r="U164" s="2">
        <v>3.2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2:31" x14ac:dyDescent="0.25">
      <c r="B165" s="5">
        <v>168</v>
      </c>
      <c r="C165" s="5">
        <v>27</v>
      </c>
      <c r="D165" s="5">
        <v>2</v>
      </c>
      <c r="E165" s="5" t="s">
        <v>990</v>
      </c>
      <c r="F165" s="4"/>
      <c r="G165" s="36" t="s">
        <v>1108</v>
      </c>
      <c r="H165" s="36" t="s">
        <v>1214</v>
      </c>
      <c r="I165" s="36" t="s">
        <v>1320</v>
      </c>
      <c r="J165" s="36" t="s">
        <v>1419</v>
      </c>
      <c r="K165" s="4"/>
      <c r="L165" s="4"/>
      <c r="M165" s="4"/>
      <c r="N165" s="4"/>
      <c r="O165" s="4"/>
      <c r="P165" s="2" t="s">
        <v>255</v>
      </c>
      <c r="Q165" s="4"/>
      <c r="R165" s="4"/>
      <c r="S165" s="4"/>
      <c r="T165" s="4">
        <v>1</v>
      </c>
      <c r="U165" s="2">
        <v>3.2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2:31" x14ac:dyDescent="0.25">
      <c r="B166" s="5">
        <v>169</v>
      </c>
      <c r="C166" s="5">
        <v>27</v>
      </c>
      <c r="D166" s="5">
        <v>2</v>
      </c>
      <c r="E166" s="5" t="s">
        <v>991</v>
      </c>
      <c r="F166" s="4"/>
      <c r="G166" s="36" t="s">
        <v>1468</v>
      </c>
      <c r="H166" s="36" t="s">
        <v>1215</v>
      </c>
      <c r="I166" s="36" t="s">
        <v>1501</v>
      </c>
      <c r="J166" s="36" t="s">
        <v>1408</v>
      </c>
      <c r="K166" s="4"/>
      <c r="L166" s="4"/>
      <c r="M166" s="4"/>
      <c r="N166" s="4"/>
      <c r="O166" s="4"/>
      <c r="P166" s="2" t="s">
        <v>255</v>
      </c>
      <c r="Q166" s="4"/>
      <c r="R166" s="4"/>
      <c r="S166" s="4"/>
      <c r="T166" s="4">
        <v>1</v>
      </c>
      <c r="U166" s="2">
        <v>3.2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2:31" x14ac:dyDescent="0.25">
      <c r="B167" s="5">
        <v>170</v>
      </c>
      <c r="C167" s="5">
        <v>27</v>
      </c>
      <c r="D167" s="5">
        <v>2</v>
      </c>
      <c r="E167" s="5" t="s">
        <v>992</v>
      </c>
      <c r="F167" s="4"/>
      <c r="G167" s="36" t="s">
        <v>1110</v>
      </c>
      <c r="H167" s="36" t="s">
        <v>1216</v>
      </c>
      <c r="I167" s="36" t="s">
        <v>1322</v>
      </c>
      <c r="J167" s="36" t="s">
        <v>961</v>
      </c>
      <c r="K167" s="4"/>
      <c r="L167" s="4"/>
      <c r="M167" s="4"/>
      <c r="N167" s="4"/>
      <c r="O167" s="4"/>
      <c r="P167" s="2" t="s">
        <v>183</v>
      </c>
      <c r="Q167" s="4"/>
      <c r="R167" s="4"/>
      <c r="S167" s="4"/>
      <c r="T167" s="4">
        <v>1</v>
      </c>
      <c r="U167" s="2">
        <v>3.3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2:31" x14ac:dyDescent="0.25">
      <c r="B168" s="5">
        <v>171</v>
      </c>
      <c r="C168" s="5">
        <v>27</v>
      </c>
      <c r="D168" s="5">
        <v>2</v>
      </c>
      <c r="E168" s="5" t="s">
        <v>993</v>
      </c>
      <c r="F168" s="4"/>
      <c r="G168" s="36" t="s">
        <v>1111</v>
      </c>
      <c r="H168" s="36" t="s">
        <v>1217</v>
      </c>
      <c r="I168" s="36" t="s">
        <v>1323</v>
      </c>
      <c r="J168" s="36" t="s">
        <v>1514</v>
      </c>
      <c r="K168" s="4"/>
      <c r="L168" s="4"/>
      <c r="M168" s="4"/>
      <c r="N168" s="4"/>
      <c r="O168" s="4"/>
      <c r="P168" s="2" t="s">
        <v>189</v>
      </c>
      <c r="Q168" s="4"/>
      <c r="R168" s="4"/>
      <c r="S168" s="4"/>
      <c r="T168" s="4">
        <v>1</v>
      </c>
      <c r="U168" s="2">
        <v>3.3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2:31" x14ac:dyDescent="0.25">
      <c r="B169" s="5">
        <v>172</v>
      </c>
      <c r="C169" s="5">
        <v>27</v>
      </c>
      <c r="D169" s="5">
        <v>2</v>
      </c>
      <c r="E169" s="5" t="s">
        <v>994</v>
      </c>
      <c r="F169" s="4"/>
      <c r="G169" s="36" t="s">
        <v>1112</v>
      </c>
      <c r="H169" s="36" t="s">
        <v>1218</v>
      </c>
      <c r="I169" s="36" t="s">
        <v>1324</v>
      </c>
      <c r="J169" s="36" t="s">
        <v>961</v>
      </c>
      <c r="K169" s="4"/>
      <c r="L169" s="4"/>
      <c r="M169" s="4"/>
      <c r="N169" s="4"/>
      <c r="O169" s="4"/>
      <c r="P169" s="2" t="s">
        <v>189</v>
      </c>
      <c r="Q169" s="4"/>
      <c r="R169" s="4"/>
      <c r="S169" s="4"/>
      <c r="T169" s="4">
        <v>1</v>
      </c>
      <c r="U169" s="2">
        <v>3.3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2:31" x14ac:dyDescent="0.25">
      <c r="B170" s="5">
        <v>173</v>
      </c>
      <c r="C170" s="5">
        <v>27</v>
      </c>
      <c r="D170" s="5">
        <v>2</v>
      </c>
      <c r="E170" s="5" t="s">
        <v>995</v>
      </c>
      <c r="F170" s="4"/>
      <c r="G170" s="36" t="s">
        <v>1469</v>
      </c>
      <c r="H170" s="36" t="s">
        <v>1219</v>
      </c>
      <c r="I170" s="36" t="s">
        <v>1502</v>
      </c>
      <c r="J170" s="36" t="s">
        <v>1421</v>
      </c>
      <c r="K170" s="4"/>
      <c r="L170" s="4"/>
      <c r="M170" s="4"/>
      <c r="N170" s="4"/>
      <c r="O170" s="4"/>
      <c r="P170" s="2" t="s">
        <v>207</v>
      </c>
      <c r="Q170" s="4"/>
      <c r="R170" s="4"/>
      <c r="S170" s="4"/>
      <c r="T170" s="4">
        <v>1</v>
      </c>
      <c r="U170" s="2">
        <v>3.4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2:31" x14ac:dyDescent="0.25">
      <c r="B171" s="5">
        <v>174</v>
      </c>
      <c r="C171" s="5">
        <v>27</v>
      </c>
      <c r="D171" s="5">
        <v>2</v>
      </c>
      <c r="E171" s="5" t="s">
        <v>996</v>
      </c>
      <c r="F171" s="4"/>
      <c r="G171" s="36" t="s">
        <v>1114</v>
      </c>
      <c r="H171" s="36" t="s">
        <v>1220</v>
      </c>
      <c r="I171" s="36" t="s">
        <v>1326</v>
      </c>
      <c r="J171" s="36" t="s">
        <v>1422</v>
      </c>
      <c r="K171" s="4"/>
      <c r="L171" s="4"/>
      <c r="M171" s="4"/>
      <c r="N171" s="4"/>
      <c r="O171" s="4"/>
      <c r="P171" s="2" t="s">
        <v>189</v>
      </c>
      <c r="Q171" s="4"/>
      <c r="R171" s="4"/>
      <c r="S171" s="4"/>
      <c r="T171" s="4">
        <v>1</v>
      </c>
      <c r="U171" s="2">
        <v>3.4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2:31" x14ac:dyDescent="0.25">
      <c r="B172" s="5">
        <v>175</v>
      </c>
      <c r="C172" s="5">
        <v>27</v>
      </c>
      <c r="D172" s="5">
        <v>2</v>
      </c>
      <c r="E172" s="5" t="s">
        <v>997</v>
      </c>
      <c r="F172" s="4"/>
      <c r="G172" s="36" t="s">
        <v>1115</v>
      </c>
      <c r="H172" s="36" t="s">
        <v>1221</v>
      </c>
      <c r="I172" s="36" t="s">
        <v>1503</v>
      </c>
      <c r="J172" s="36" t="s">
        <v>1408</v>
      </c>
      <c r="K172" s="4"/>
      <c r="L172" s="4"/>
      <c r="M172" s="4"/>
      <c r="N172" s="4"/>
      <c r="O172" s="4"/>
      <c r="P172" s="2" t="s">
        <v>255</v>
      </c>
      <c r="Q172" s="4"/>
      <c r="R172" s="4"/>
      <c r="S172" s="4"/>
      <c r="T172" s="4">
        <v>1</v>
      </c>
      <c r="U172" s="2">
        <v>3.4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2:31" x14ac:dyDescent="0.25">
      <c r="B173" s="5">
        <v>176</v>
      </c>
      <c r="C173" s="5">
        <v>27</v>
      </c>
      <c r="D173" s="5">
        <v>2</v>
      </c>
      <c r="E173" s="5" t="s">
        <v>998</v>
      </c>
      <c r="F173" s="4"/>
      <c r="G173" s="36" t="s">
        <v>1116</v>
      </c>
      <c r="H173" s="36" t="s">
        <v>1489</v>
      </c>
      <c r="I173" s="36" t="s">
        <v>1328</v>
      </c>
      <c r="J173" s="36" t="s">
        <v>1408</v>
      </c>
      <c r="K173" s="4"/>
      <c r="L173" s="4"/>
      <c r="M173" s="4"/>
      <c r="N173" s="4"/>
      <c r="O173" s="4"/>
      <c r="P173" s="2" t="s">
        <v>255</v>
      </c>
      <c r="Q173" s="4"/>
      <c r="R173" s="4"/>
      <c r="S173" s="4"/>
      <c r="T173" s="4">
        <v>1</v>
      </c>
      <c r="U173" s="2">
        <v>3.5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2:31" x14ac:dyDescent="0.25">
      <c r="B174" s="5">
        <v>177</v>
      </c>
      <c r="C174" s="5">
        <v>27</v>
      </c>
      <c r="D174" s="5">
        <v>2</v>
      </c>
      <c r="E174" s="5" t="s">
        <v>999</v>
      </c>
      <c r="F174" s="4"/>
      <c r="G174" s="36" t="s">
        <v>1117</v>
      </c>
      <c r="H174" s="36" t="s">
        <v>1223</v>
      </c>
      <c r="I174" s="36" t="s">
        <v>1329</v>
      </c>
      <c r="J174" s="36" t="s">
        <v>961</v>
      </c>
      <c r="K174" s="4"/>
      <c r="L174" s="4"/>
      <c r="M174" s="4"/>
      <c r="N174" s="4"/>
      <c r="O174" s="4"/>
      <c r="P174" s="2" t="s">
        <v>189</v>
      </c>
      <c r="Q174" s="4"/>
      <c r="R174" s="4"/>
      <c r="S174" s="4"/>
      <c r="T174" s="4">
        <v>1</v>
      </c>
      <c r="U174" s="2">
        <v>3.5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2:31" x14ac:dyDescent="0.25">
      <c r="B175" s="5">
        <v>178</v>
      </c>
      <c r="C175" s="5">
        <v>27</v>
      </c>
      <c r="D175" s="5">
        <v>2</v>
      </c>
      <c r="E175" s="5" t="s">
        <v>1000</v>
      </c>
      <c r="F175" s="4"/>
      <c r="G175" s="36" t="s">
        <v>1118</v>
      </c>
      <c r="H175" s="36" t="s">
        <v>1224</v>
      </c>
      <c r="I175" s="36" t="s">
        <v>1504</v>
      </c>
      <c r="J175" s="36" t="s">
        <v>1413</v>
      </c>
      <c r="K175" s="4"/>
      <c r="L175" s="4"/>
      <c r="M175" s="4"/>
      <c r="N175" s="4"/>
      <c r="O175" s="4"/>
      <c r="P175" s="2" t="s">
        <v>255</v>
      </c>
      <c r="Q175" s="4"/>
      <c r="R175" s="4"/>
      <c r="S175" s="4"/>
      <c r="T175" s="4">
        <v>1</v>
      </c>
      <c r="U175" s="2">
        <v>3.5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2:31" x14ac:dyDescent="0.25">
      <c r="B176" s="5">
        <v>179</v>
      </c>
      <c r="C176" s="5">
        <v>27</v>
      </c>
      <c r="D176" s="5">
        <v>2</v>
      </c>
      <c r="E176" s="5" t="s">
        <v>1001</v>
      </c>
      <c r="F176" s="4"/>
      <c r="G176" s="36" t="s">
        <v>1119</v>
      </c>
      <c r="H176" s="36" t="s">
        <v>1279</v>
      </c>
      <c r="I176" s="36" t="s">
        <v>1331</v>
      </c>
      <c r="J176" s="36" t="s">
        <v>1515</v>
      </c>
      <c r="K176" s="4"/>
      <c r="L176" s="4"/>
      <c r="M176" s="4"/>
      <c r="N176" s="4"/>
      <c r="O176" s="4"/>
      <c r="P176" s="2" t="s">
        <v>189</v>
      </c>
      <c r="Q176" s="4"/>
      <c r="R176" s="4"/>
      <c r="S176" s="4"/>
      <c r="T176" s="4">
        <v>1</v>
      </c>
      <c r="U176" s="2">
        <v>4.0999999999999996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2:31" x14ac:dyDescent="0.25">
      <c r="B177" s="5">
        <v>180</v>
      </c>
      <c r="C177" s="5">
        <v>27</v>
      </c>
      <c r="D177" s="5">
        <v>2</v>
      </c>
      <c r="E177" s="5" t="s">
        <v>1002</v>
      </c>
      <c r="F177" s="4"/>
      <c r="G177" s="36" t="s">
        <v>1120</v>
      </c>
      <c r="H177" s="36" t="s">
        <v>1490</v>
      </c>
      <c r="I177" s="36" t="s">
        <v>1332</v>
      </c>
      <c r="J177" s="36" t="s">
        <v>1424</v>
      </c>
      <c r="K177" s="4"/>
      <c r="L177" s="4"/>
      <c r="M177" s="4"/>
      <c r="N177" s="4"/>
      <c r="O177" s="4"/>
      <c r="P177" s="2" t="s">
        <v>255</v>
      </c>
      <c r="Q177" s="4"/>
      <c r="R177" s="4"/>
      <c r="S177" s="4"/>
      <c r="T177" s="4">
        <v>1</v>
      </c>
      <c r="U177" s="2">
        <v>4.0999999999999996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2:31" x14ac:dyDescent="0.25">
      <c r="B178" s="5">
        <v>181</v>
      </c>
      <c r="C178" s="5">
        <v>27</v>
      </c>
      <c r="D178" s="5">
        <v>2</v>
      </c>
      <c r="E178" s="5" t="s">
        <v>1003</v>
      </c>
      <c r="F178" s="4"/>
      <c r="G178" s="36" t="s">
        <v>1121</v>
      </c>
      <c r="H178" s="36" t="s">
        <v>1227</v>
      </c>
      <c r="I178" s="36" t="s">
        <v>1332</v>
      </c>
      <c r="J178" s="36" t="s">
        <v>1425</v>
      </c>
      <c r="K178" s="4"/>
      <c r="L178" s="4"/>
      <c r="M178" s="4"/>
      <c r="N178" s="4"/>
      <c r="O178" s="4"/>
      <c r="P178" s="2" t="s">
        <v>255</v>
      </c>
      <c r="Q178" s="4"/>
      <c r="R178" s="4"/>
      <c r="S178" s="4"/>
      <c r="T178" s="4">
        <v>1</v>
      </c>
      <c r="U178" s="2">
        <v>4.0999999999999996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2:31" x14ac:dyDescent="0.25">
      <c r="B179" s="5">
        <v>182</v>
      </c>
      <c r="C179" s="5">
        <v>27</v>
      </c>
      <c r="D179" s="5">
        <v>2</v>
      </c>
      <c r="E179" s="5" t="s">
        <v>1004</v>
      </c>
      <c r="F179" s="4"/>
      <c r="G179" s="36" t="s">
        <v>1470</v>
      </c>
      <c r="H179" s="36" t="s">
        <v>1228</v>
      </c>
      <c r="I179" s="36" t="s">
        <v>1333</v>
      </c>
      <c r="J179" s="36" t="s">
        <v>961</v>
      </c>
      <c r="K179" s="4"/>
      <c r="L179" s="4"/>
      <c r="M179" s="4"/>
      <c r="N179" s="4"/>
      <c r="O179" s="4"/>
      <c r="P179" s="2" t="s">
        <v>189</v>
      </c>
      <c r="Q179" s="4"/>
      <c r="R179" s="4"/>
      <c r="S179" s="4"/>
      <c r="T179" s="4">
        <v>1</v>
      </c>
      <c r="U179" s="2">
        <v>4.2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2:31" x14ac:dyDescent="0.25">
      <c r="B180" s="5">
        <v>183</v>
      </c>
      <c r="C180" s="5">
        <v>27</v>
      </c>
      <c r="D180" s="5">
        <v>2</v>
      </c>
      <c r="E180" s="5" t="s">
        <v>1005</v>
      </c>
      <c r="F180" s="4"/>
      <c r="G180" s="36" t="s">
        <v>1123</v>
      </c>
      <c r="H180" s="36" t="s">
        <v>1229</v>
      </c>
      <c r="I180" s="36" t="s">
        <v>1334</v>
      </c>
      <c r="J180" s="36" t="s">
        <v>1426</v>
      </c>
      <c r="K180" s="4"/>
      <c r="L180" s="4"/>
      <c r="M180" s="4"/>
      <c r="N180" s="4"/>
      <c r="O180" s="4"/>
      <c r="P180" s="2" t="s">
        <v>183</v>
      </c>
      <c r="Q180" s="4"/>
      <c r="R180" s="4"/>
      <c r="S180" s="4"/>
      <c r="T180" s="4">
        <v>1</v>
      </c>
      <c r="U180" s="2">
        <v>4.2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2:31" x14ac:dyDescent="0.25">
      <c r="B181" s="5">
        <v>184</v>
      </c>
      <c r="C181" s="5">
        <v>27</v>
      </c>
      <c r="D181" s="5">
        <v>2</v>
      </c>
      <c r="E181" s="5" t="s">
        <v>1006</v>
      </c>
      <c r="F181" s="4"/>
      <c r="G181" s="36" t="s">
        <v>1124</v>
      </c>
      <c r="H181" s="36" t="s">
        <v>1230</v>
      </c>
      <c r="I181" s="36" t="s">
        <v>1335</v>
      </c>
      <c r="J181" s="36" t="s">
        <v>1427</v>
      </c>
      <c r="K181" s="4"/>
      <c r="L181" s="4"/>
      <c r="M181" s="4"/>
      <c r="N181" s="4"/>
      <c r="O181" s="4"/>
      <c r="P181" s="2" t="s">
        <v>189</v>
      </c>
      <c r="Q181" s="4"/>
      <c r="R181" s="4"/>
      <c r="S181" s="4"/>
      <c r="T181" s="4">
        <v>1</v>
      </c>
      <c r="U181" s="2">
        <v>4.2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2:31" x14ac:dyDescent="0.25">
      <c r="B182" s="5">
        <v>185</v>
      </c>
      <c r="C182" s="5">
        <v>27</v>
      </c>
      <c r="D182" s="5">
        <v>2</v>
      </c>
      <c r="E182" s="5" t="s">
        <v>1007</v>
      </c>
      <c r="F182" s="4"/>
      <c r="G182" s="36" t="s">
        <v>1125</v>
      </c>
      <c r="H182" s="36" t="s">
        <v>1231</v>
      </c>
      <c r="I182" s="36" t="s">
        <v>1336</v>
      </c>
      <c r="J182" s="36" t="s">
        <v>1428</v>
      </c>
      <c r="K182" s="4"/>
      <c r="L182" s="4"/>
      <c r="M182" s="4"/>
      <c r="N182" s="4"/>
      <c r="O182" s="4"/>
      <c r="P182" s="2" t="s">
        <v>255</v>
      </c>
      <c r="Q182" s="4"/>
      <c r="R182" s="4"/>
      <c r="S182" s="4"/>
      <c r="T182" s="4">
        <v>1</v>
      </c>
      <c r="U182" s="2">
        <v>4.3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2:31" x14ac:dyDescent="0.25">
      <c r="B183" s="5">
        <v>186</v>
      </c>
      <c r="C183" s="5">
        <v>27</v>
      </c>
      <c r="D183" s="5">
        <v>2</v>
      </c>
      <c r="E183" s="5" t="s">
        <v>1008</v>
      </c>
      <c r="F183" s="4"/>
      <c r="G183" s="36" t="s">
        <v>1126</v>
      </c>
      <c r="H183" s="36" t="s">
        <v>1232</v>
      </c>
      <c r="I183" s="36" t="s">
        <v>1337</v>
      </c>
      <c r="J183" s="36" t="s">
        <v>1408</v>
      </c>
      <c r="K183" s="4"/>
      <c r="L183" s="4"/>
      <c r="M183" s="4"/>
      <c r="N183" s="4"/>
      <c r="O183" s="4"/>
      <c r="P183" s="2" t="s">
        <v>255</v>
      </c>
      <c r="Q183" s="4"/>
      <c r="R183" s="4"/>
      <c r="S183" s="4"/>
      <c r="T183" s="4">
        <v>1</v>
      </c>
      <c r="U183" s="2">
        <v>4.3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2:31" x14ac:dyDescent="0.25">
      <c r="B184" s="5">
        <v>187</v>
      </c>
      <c r="C184" s="5">
        <v>27</v>
      </c>
      <c r="D184" s="5">
        <v>2</v>
      </c>
      <c r="E184" s="5" t="s">
        <v>1009</v>
      </c>
      <c r="F184" s="4"/>
      <c r="G184" s="36" t="s">
        <v>1124</v>
      </c>
      <c r="H184" s="36" t="s">
        <v>1230</v>
      </c>
      <c r="I184" s="36" t="s">
        <v>1335</v>
      </c>
      <c r="J184" s="36" t="s">
        <v>1427</v>
      </c>
      <c r="K184" s="4"/>
      <c r="L184" s="4"/>
      <c r="M184" s="4"/>
      <c r="N184" s="4"/>
      <c r="O184" s="4"/>
      <c r="P184" s="2" t="s">
        <v>207</v>
      </c>
      <c r="Q184" s="4"/>
      <c r="R184" s="4"/>
      <c r="S184" s="4"/>
      <c r="T184" s="4">
        <v>1</v>
      </c>
      <c r="U184" s="2">
        <v>4.3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2:31" x14ac:dyDescent="0.25">
      <c r="B185" s="5">
        <v>188</v>
      </c>
      <c r="C185" s="5">
        <v>27</v>
      </c>
      <c r="D185" s="5">
        <v>2</v>
      </c>
      <c r="E185" s="5" t="s">
        <v>1010</v>
      </c>
      <c r="F185" s="4"/>
      <c r="G185" s="36" t="s">
        <v>1128</v>
      </c>
      <c r="H185" s="36" t="s">
        <v>1233</v>
      </c>
      <c r="I185" s="36" t="s">
        <v>1338</v>
      </c>
      <c r="J185" s="36" t="s">
        <v>1429</v>
      </c>
      <c r="K185" s="4"/>
      <c r="L185" s="4"/>
      <c r="M185" s="4"/>
      <c r="N185" s="4"/>
      <c r="O185" s="4"/>
      <c r="P185" s="2" t="s">
        <v>255</v>
      </c>
      <c r="Q185" s="4"/>
      <c r="R185" s="4"/>
      <c r="S185" s="4"/>
      <c r="T185" s="4">
        <v>1</v>
      </c>
      <c r="U185" s="2">
        <v>4.4000000000000004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2:31" x14ac:dyDescent="0.25">
      <c r="B186" s="5">
        <v>189</v>
      </c>
      <c r="C186" s="5">
        <v>27</v>
      </c>
      <c r="D186" s="5">
        <v>2</v>
      </c>
      <c r="E186" s="5" t="s">
        <v>1011</v>
      </c>
      <c r="F186" s="4"/>
      <c r="G186" s="36" t="s">
        <v>1128</v>
      </c>
      <c r="H186" s="36" t="s">
        <v>1234</v>
      </c>
      <c r="I186" s="36" t="s">
        <v>1338</v>
      </c>
      <c r="J186" s="36" t="s">
        <v>1430</v>
      </c>
      <c r="K186" s="4"/>
      <c r="L186" s="4"/>
      <c r="M186" s="4"/>
      <c r="N186" s="4"/>
      <c r="O186" s="4"/>
      <c r="P186" s="2" t="s">
        <v>183</v>
      </c>
      <c r="Q186" s="4"/>
      <c r="R186" s="4"/>
      <c r="S186" s="4"/>
      <c r="T186" s="4">
        <v>1</v>
      </c>
      <c r="U186" s="2">
        <v>4.4000000000000004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2:31" x14ac:dyDescent="0.25">
      <c r="B187" s="5">
        <v>190</v>
      </c>
      <c r="C187" s="5">
        <v>27</v>
      </c>
      <c r="D187" s="5">
        <v>2</v>
      </c>
      <c r="E187" s="5" t="s">
        <v>1012</v>
      </c>
      <c r="F187" s="4"/>
      <c r="G187" s="36" t="s">
        <v>1471</v>
      </c>
      <c r="H187" s="36" t="s">
        <v>1235</v>
      </c>
      <c r="I187" s="36" t="s">
        <v>1339</v>
      </c>
      <c r="J187" s="36" t="s">
        <v>1431</v>
      </c>
      <c r="K187" s="4"/>
      <c r="L187" s="4"/>
      <c r="M187" s="4"/>
      <c r="N187" s="4"/>
      <c r="O187" s="4"/>
      <c r="P187" s="2" t="s">
        <v>207</v>
      </c>
      <c r="Q187" s="4"/>
      <c r="R187" s="4"/>
      <c r="S187" s="4"/>
      <c r="T187" s="4">
        <v>1</v>
      </c>
      <c r="U187" s="2">
        <v>4.4000000000000004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2:31" x14ac:dyDescent="0.25">
      <c r="B188" s="5">
        <v>191</v>
      </c>
      <c r="C188" s="5">
        <v>27</v>
      </c>
      <c r="D188" s="5">
        <v>2</v>
      </c>
      <c r="E188" s="5" t="s">
        <v>1013</v>
      </c>
      <c r="F188" s="4"/>
      <c r="G188" s="36" t="s">
        <v>1130</v>
      </c>
      <c r="H188" s="36" t="s">
        <v>1236</v>
      </c>
      <c r="I188" s="36" t="s">
        <v>1340</v>
      </c>
      <c r="J188" s="36" t="s">
        <v>1432</v>
      </c>
      <c r="K188" s="4"/>
      <c r="L188" s="4"/>
      <c r="M188" s="4"/>
      <c r="N188" s="4"/>
      <c r="O188" s="4"/>
      <c r="P188" s="2" t="s">
        <v>255</v>
      </c>
      <c r="Q188" s="4"/>
      <c r="R188" s="4"/>
      <c r="S188" s="4"/>
      <c r="T188" s="4">
        <v>1</v>
      </c>
      <c r="U188" s="2">
        <v>5.0999999999999996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2:31" x14ac:dyDescent="0.25">
      <c r="B189" s="5">
        <v>192</v>
      </c>
      <c r="C189" s="5">
        <v>27</v>
      </c>
      <c r="D189" s="5">
        <v>2</v>
      </c>
      <c r="E189" s="5" t="s">
        <v>1014</v>
      </c>
      <c r="F189" s="4"/>
      <c r="G189" s="36" t="s">
        <v>1131</v>
      </c>
      <c r="H189" s="36" t="s">
        <v>1491</v>
      </c>
      <c r="I189" s="36" t="s">
        <v>1341</v>
      </c>
      <c r="J189" s="36" t="s">
        <v>1414</v>
      </c>
      <c r="K189" s="4"/>
      <c r="L189" s="4"/>
      <c r="M189" s="4"/>
      <c r="N189" s="4"/>
      <c r="O189" s="4"/>
      <c r="P189" s="2" t="s">
        <v>255</v>
      </c>
      <c r="Q189" s="4"/>
      <c r="R189" s="4"/>
      <c r="S189" s="4"/>
      <c r="T189" s="4">
        <v>1</v>
      </c>
      <c r="U189" s="2">
        <v>5.0999999999999996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2:31" x14ac:dyDescent="0.25">
      <c r="B190" s="5">
        <v>193</v>
      </c>
      <c r="C190" s="5">
        <v>27</v>
      </c>
      <c r="D190" s="5">
        <v>2</v>
      </c>
      <c r="E190" s="5" t="s">
        <v>1015</v>
      </c>
      <c r="F190" s="4"/>
      <c r="G190" s="36" t="s">
        <v>1132</v>
      </c>
      <c r="H190" s="36" t="s">
        <v>1238</v>
      </c>
      <c r="I190" s="36" t="s">
        <v>1342</v>
      </c>
      <c r="J190" s="36" t="s">
        <v>1431</v>
      </c>
      <c r="K190" s="4"/>
      <c r="L190" s="4"/>
      <c r="M190" s="4"/>
      <c r="N190" s="4"/>
      <c r="O190" s="4"/>
      <c r="P190" s="2" t="s">
        <v>207</v>
      </c>
      <c r="Q190" s="4"/>
      <c r="R190" s="4"/>
      <c r="S190" s="4"/>
      <c r="T190" s="4">
        <v>1</v>
      </c>
      <c r="U190" s="2">
        <v>5.0999999999999996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2:31" x14ac:dyDescent="0.25">
      <c r="B191" s="5">
        <v>194</v>
      </c>
      <c r="C191" s="5">
        <v>27</v>
      </c>
      <c r="D191" s="5">
        <v>2</v>
      </c>
      <c r="E191" s="5" t="s">
        <v>1016</v>
      </c>
      <c r="F191" s="4"/>
      <c r="G191" s="36" t="s">
        <v>1472</v>
      </c>
      <c r="H191" s="36" t="s">
        <v>1239</v>
      </c>
      <c r="I191" s="36" t="s">
        <v>1343</v>
      </c>
      <c r="J191" s="36" t="s">
        <v>1433</v>
      </c>
      <c r="K191" s="4"/>
      <c r="L191" s="4"/>
      <c r="M191" s="4"/>
      <c r="N191" s="4"/>
      <c r="O191" s="4"/>
      <c r="P191" s="2" t="s">
        <v>255</v>
      </c>
      <c r="Q191" s="4"/>
      <c r="R191" s="4"/>
      <c r="S191" s="4"/>
      <c r="T191" s="4">
        <v>1</v>
      </c>
      <c r="U191" s="2">
        <v>5.2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2:31" x14ac:dyDescent="0.25">
      <c r="B192" s="5">
        <v>195</v>
      </c>
      <c r="C192" s="5">
        <v>27</v>
      </c>
      <c r="D192" s="5">
        <v>2</v>
      </c>
      <c r="E192" s="5" t="s">
        <v>1017</v>
      </c>
      <c r="F192" s="4"/>
      <c r="G192" s="36" t="s">
        <v>1131</v>
      </c>
      <c r="H192" s="36" t="s">
        <v>1240</v>
      </c>
      <c r="I192" s="36" t="s">
        <v>1344</v>
      </c>
      <c r="J192" s="36" t="s">
        <v>1434</v>
      </c>
      <c r="K192" s="4"/>
      <c r="L192" s="4"/>
      <c r="M192" s="4"/>
      <c r="N192" s="4"/>
      <c r="O192" s="4"/>
      <c r="P192" s="2" t="s">
        <v>189</v>
      </c>
      <c r="Q192" s="4"/>
      <c r="R192" s="4"/>
      <c r="S192" s="4"/>
      <c r="T192" s="4">
        <v>1</v>
      </c>
      <c r="U192" s="2">
        <v>5.2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2:31" x14ac:dyDescent="0.25">
      <c r="B193" s="5">
        <v>196</v>
      </c>
      <c r="C193" s="5">
        <v>27</v>
      </c>
      <c r="D193" s="5">
        <v>2</v>
      </c>
      <c r="E193" s="5" t="s">
        <v>1018</v>
      </c>
      <c r="F193" s="4"/>
      <c r="G193" s="36" t="s">
        <v>1132</v>
      </c>
      <c r="H193" s="36" t="s">
        <v>1241</v>
      </c>
      <c r="I193" s="36" t="s">
        <v>1345</v>
      </c>
      <c r="J193" s="36" t="s">
        <v>1435</v>
      </c>
      <c r="K193" s="4"/>
      <c r="L193" s="4"/>
      <c r="M193" s="4"/>
      <c r="N193" s="4"/>
      <c r="O193" s="4"/>
      <c r="P193" s="2" t="s">
        <v>255</v>
      </c>
      <c r="Q193" s="4"/>
      <c r="R193" s="4"/>
      <c r="S193" s="4"/>
      <c r="T193" s="4">
        <v>1</v>
      </c>
      <c r="U193" s="2">
        <v>5.2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2:31" x14ac:dyDescent="0.25">
      <c r="B194" s="5">
        <v>197</v>
      </c>
      <c r="C194" s="5">
        <v>27</v>
      </c>
      <c r="D194" s="5">
        <v>2</v>
      </c>
      <c r="E194" s="5" t="s">
        <v>1019</v>
      </c>
      <c r="F194" s="4"/>
      <c r="G194" s="36" t="s">
        <v>1134</v>
      </c>
      <c r="H194" s="36" t="s">
        <v>1242</v>
      </c>
      <c r="I194" s="36" t="s">
        <v>1346</v>
      </c>
      <c r="J194" s="36" t="s">
        <v>1413</v>
      </c>
      <c r="K194" s="4"/>
      <c r="L194" s="4"/>
      <c r="M194" s="4"/>
      <c r="N194" s="4"/>
      <c r="O194" s="4"/>
      <c r="P194" s="2" t="s">
        <v>207</v>
      </c>
      <c r="Q194" s="4"/>
      <c r="R194" s="4"/>
      <c r="S194" s="4"/>
      <c r="T194" s="4">
        <v>1</v>
      </c>
      <c r="U194" s="2">
        <v>5.3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2:31" x14ac:dyDescent="0.25">
      <c r="B195" s="5">
        <v>198</v>
      </c>
      <c r="C195" s="5">
        <v>27</v>
      </c>
      <c r="D195" s="5">
        <v>2</v>
      </c>
      <c r="E195" s="5" t="s">
        <v>1020</v>
      </c>
      <c r="F195" s="4"/>
      <c r="G195" s="36" t="s">
        <v>1135</v>
      </c>
      <c r="H195" s="36" t="s">
        <v>1243</v>
      </c>
      <c r="I195" s="36" t="s">
        <v>1347</v>
      </c>
      <c r="J195" s="36" t="s">
        <v>1408</v>
      </c>
      <c r="K195" s="4"/>
      <c r="L195" s="4"/>
      <c r="M195" s="4"/>
      <c r="N195" s="4"/>
      <c r="O195" s="4"/>
      <c r="P195" s="2" t="s">
        <v>255</v>
      </c>
      <c r="Q195" s="4"/>
      <c r="R195" s="4"/>
      <c r="S195" s="4"/>
      <c r="T195" s="4">
        <v>1</v>
      </c>
      <c r="U195" s="2">
        <v>5.3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2:31" x14ac:dyDescent="0.25">
      <c r="B196" s="5">
        <v>199</v>
      </c>
      <c r="C196" s="5">
        <v>27</v>
      </c>
      <c r="D196" s="5">
        <v>2</v>
      </c>
      <c r="E196" s="5" t="s">
        <v>1021</v>
      </c>
      <c r="F196" s="4"/>
      <c r="G196" s="36" t="s">
        <v>1136</v>
      </c>
      <c r="H196" s="36" t="s">
        <v>1244</v>
      </c>
      <c r="I196" s="36" t="s">
        <v>1348</v>
      </c>
      <c r="J196" s="36" t="s">
        <v>961</v>
      </c>
      <c r="K196" s="4"/>
      <c r="L196" s="4"/>
      <c r="M196" s="4"/>
      <c r="N196" s="4"/>
      <c r="O196" s="4"/>
      <c r="P196" s="2" t="s">
        <v>183</v>
      </c>
      <c r="Q196" s="4"/>
      <c r="R196" s="4"/>
      <c r="S196" s="4"/>
      <c r="T196" s="4">
        <v>1</v>
      </c>
      <c r="U196" s="2">
        <v>5.3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2:31" x14ac:dyDescent="0.25">
      <c r="B197" s="5">
        <v>200</v>
      </c>
      <c r="C197" s="5">
        <v>27</v>
      </c>
      <c r="D197" s="5">
        <v>2</v>
      </c>
      <c r="E197" s="5" t="s">
        <v>1022</v>
      </c>
      <c r="F197" s="4"/>
      <c r="G197" s="36" t="s">
        <v>1130</v>
      </c>
      <c r="H197" s="36" t="s">
        <v>1236</v>
      </c>
      <c r="I197" s="36" t="s">
        <v>1340</v>
      </c>
      <c r="J197" s="36" t="s">
        <v>1436</v>
      </c>
      <c r="K197" s="4"/>
      <c r="L197" s="4"/>
      <c r="M197" s="4"/>
      <c r="N197" s="4"/>
      <c r="O197" s="4"/>
      <c r="P197" s="2" t="s">
        <v>255</v>
      </c>
      <c r="Q197" s="4"/>
      <c r="R197" s="4"/>
      <c r="S197" s="4"/>
      <c r="T197" s="4">
        <v>1</v>
      </c>
      <c r="U197" s="2">
        <v>5.4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2:31" x14ac:dyDescent="0.25">
      <c r="B198" s="5">
        <v>201</v>
      </c>
      <c r="C198" s="5">
        <v>27</v>
      </c>
      <c r="D198" s="5">
        <v>2</v>
      </c>
      <c r="E198" s="5" t="s">
        <v>1023</v>
      </c>
      <c r="F198" s="4"/>
      <c r="G198" s="36" t="s">
        <v>1137</v>
      </c>
      <c r="H198" s="36" t="s">
        <v>1239</v>
      </c>
      <c r="I198" s="36" t="s">
        <v>1349</v>
      </c>
      <c r="J198" s="36" t="s">
        <v>1437</v>
      </c>
      <c r="K198" s="4"/>
      <c r="L198" s="4"/>
      <c r="M198" s="4"/>
      <c r="N198" s="4"/>
      <c r="O198" s="4"/>
      <c r="P198" s="2" t="s">
        <v>255</v>
      </c>
      <c r="Q198" s="4"/>
      <c r="R198" s="4"/>
      <c r="S198" s="4"/>
      <c r="T198" s="4">
        <v>1</v>
      </c>
      <c r="U198" s="2">
        <v>5.4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2:31" x14ac:dyDescent="0.25">
      <c r="B199" s="5">
        <v>202</v>
      </c>
      <c r="C199" s="5">
        <v>27</v>
      </c>
      <c r="D199" s="5">
        <v>2</v>
      </c>
      <c r="E199" s="5" t="s">
        <v>1024</v>
      </c>
      <c r="F199" s="4"/>
      <c r="G199" s="36" t="s">
        <v>1132</v>
      </c>
      <c r="H199" s="36" t="s">
        <v>1238</v>
      </c>
      <c r="I199" s="36" t="s">
        <v>1342</v>
      </c>
      <c r="J199" s="36" t="s">
        <v>961</v>
      </c>
      <c r="K199" s="4"/>
      <c r="L199" s="4"/>
      <c r="M199" s="4"/>
      <c r="N199" s="4"/>
      <c r="O199" s="4"/>
      <c r="P199" s="2" t="s">
        <v>255</v>
      </c>
      <c r="Q199" s="4"/>
      <c r="R199" s="4"/>
      <c r="S199" s="4"/>
      <c r="T199" s="4">
        <v>1</v>
      </c>
      <c r="U199" s="2">
        <v>5.4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2:31" x14ac:dyDescent="0.25">
      <c r="B200" s="5">
        <v>203</v>
      </c>
      <c r="C200" s="5">
        <v>27</v>
      </c>
      <c r="D200" s="5">
        <v>2</v>
      </c>
      <c r="E200" s="5" t="s">
        <v>1025</v>
      </c>
      <c r="F200" s="4"/>
      <c r="G200" s="36" t="s">
        <v>1138</v>
      </c>
      <c r="H200" s="36" t="s">
        <v>1245</v>
      </c>
      <c r="I200" s="36" t="s">
        <v>1350</v>
      </c>
      <c r="J200" s="36" t="s">
        <v>1440</v>
      </c>
      <c r="K200" s="4"/>
      <c r="L200" s="4"/>
      <c r="M200" s="4"/>
      <c r="N200" s="4"/>
      <c r="O200" s="4"/>
      <c r="P200" s="2" t="s">
        <v>189</v>
      </c>
      <c r="Q200" s="4"/>
      <c r="R200" s="4"/>
      <c r="S200" s="4"/>
      <c r="T200" s="4">
        <v>1</v>
      </c>
      <c r="U200" s="2">
        <v>6.1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2:31" x14ac:dyDescent="0.25">
      <c r="B201" s="5">
        <v>204</v>
      </c>
      <c r="C201" s="5">
        <v>27</v>
      </c>
      <c r="D201" s="5">
        <v>2</v>
      </c>
      <c r="E201" s="5" t="s">
        <v>1026</v>
      </c>
      <c r="F201" s="4"/>
      <c r="G201" s="36" t="s">
        <v>1139</v>
      </c>
      <c r="H201" s="36" t="s">
        <v>1492</v>
      </c>
      <c r="I201" s="36" t="s">
        <v>1505</v>
      </c>
      <c r="J201" s="36" t="s">
        <v>1516</v>
      </c>
      <c r="K201" s="4"/>
      <c r="L201" s="4"/>
      <c r="M201" s="4"/>
      <c r="N201" s="4"/>
      <c r="O201" s="4"/>
      <c r="P201" s="2" t="s">
        <v>207</v>
      </c>
      <c r="Q201" s="4"/>
      <c r="R201" s="4"/>
      <c r="S201" s="4"/>
      <c r="T201" s="4">
        <v>1</v>
      </c>
      <c r="U201" s="2">
        <v>6.1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2:31" x14ac:dyDescent="0.25">
      <c r="B202" s="5">
        <v>205</v>
      </c>
      <c r="C202" s="5">
        <v>27</v>
      </c>
      <c r="D202" s="5">
        <v>2</v>
      </c>
      <c r="E202" s="5" t="s">
        <v>1027</v>
      </c>
      <c r="F202" s="4"/>
      <c r="G202" s="36" t="s">
        <v>1138</v>
      </c>
      <c r="H202" s="36" t="s">
        <v>1245</v>
      </c>
      <c r="I202" s="36" t="s">
        <v>1353</v>
      </c>
      <c r="J202" s="36" t="s">
        <v>1440</v>
      </c>
      <c r="K202" s="4"/>
      <c r="L202" s="4"/>
      <c r="M202" s="4"/>
      <c r="N202" s="4"/>
      <c r="O202" s="4"/>
      <c r="P202" s="2" t="s">
        <v>255</v>
      </c>
      <c r="Q202" s="4"/>
      <c r="R202" s="4"/>
      <c r="S202" s="4"/>
      <c r="T202" s="4">
        <v>1</v>
      </c>
      <c r="U202" s="2">
        <v>6.1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2:31" x14ac:dyDescent="0.25">
      <c r="B203" s="5">
        <v>206</v>
      </c>
      <c r="C203" s="5">
        <v>27</v>
      </c>
      <c r="D203" s="5">
        <v>2</v>
      </c>
      <c r="E203" s="5" t="s">
        <v>1028</v>
      </c>
      <c r="F203" s="4"/>
      <c r="G203" s="36" t="s">
        <v>1138</v>
      </c>
      <c r="H203" s="36" t="s">
        <v>1247</v>
      </c>
      <c r="I203" s="36" t="s">
        <v>1353</v>
      </c>
      <c r="J203" s="36" t="s">
        <v>1440</v>
      </c>
      <c r="K203" s="4"/>
      <c r="L203" s="4"/>
      <c r="M203" s="4"/>
      <c r="N203" s="4"/>
      <c r="O203" s="4"/>
      <c r="P203" s="2" t="s">
        <v>183</v>
      </c>
      <c r="Q203" s="4"/>
      <c r="R203" s="4"/>
      <c r="S203" s="4"/>
      <c r="T203" s="4">
        <v>1</v>
      </c>
      <c r="U203" s="2">
        <v>6.2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2:31" x14ac:dyDescent="0.25">
      <c r="B204" s="5">
        <v>207</v>
      </c>
      <c r="C204" s="5">
        <v>27</v>
      </c>
      <c r="D204" s="5">
        <v>2</v>
      </c>
      <c r="E204" s="5" t="s">
        <v>1029</v>
      </c>
      <c r="F204" s="4"/>
      <c r="G204" s="36" t="s">
        <v>1140</v>
      </c>
      <c r="H204" s="36" t="s">
        <v>1248</v>
      </c>
      <c r="I204" s="36" t="s">
        <v>1354</v>
      </c>
      <c r="J204" s="36" t="s">
        <v>1408</v>
      </c>
      <c r="K204" s="4"/>
      <c r="L204" s="4"/>
      <c r="M204" s="4"/>
      <c r="N204" s="4"/>
      <c r="O204" s="4"/>
      <c r="P204" s="2" t="s">
        <v>255</v>
      </c>
      <c r="Q204" s="4"/>
      <c r="R204" s="4"/>
      <c r="S204" s="4"/>
      <c r="T204" s="4">
        <v>1</v>
      </c>
      <c r="U204" s="2">
        <v>6.2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2:31" x14ac:dyDescent="0.25">
      <c r="B205" s="5">
        <v>208</v>
      </c>
      <c r="C205" s="5">
        <v>27</v>
      </c>
      <c r="D205" s="5">
        <v>2</v>
      </c>
      <c r="E205" s="5" t="s">
        <v>1030</v>
      </c>
      <c r="F205" s="4"/>
      <c r="G205" s="36" t="s">
        <v>1141</v>
      </c>
      <c r="H205" s="36" t="s">
        <v>1249</v>
      </c>
      <c r="I205" s="36" t="s">
        <v>1355</v>
      </c>
      <c r="J205" s="36" t="s">
        <v>1408</v>
      </c>
      <c r="K205" s="4"/>
      <c r="L205" s="4"/>
      <c r="M205" s="4"/>
      <c r="N205" s="4"/>
      <c r="O205" s="4"/>
      <c r="P205" s="2" t="s">
        <v>207</v>
      </c>
      <c r="Q205" s="4"/>
      <c r="R205" s="4"/>
      <c r="S205" s="4"/>
      <c r="T205" s="4">
        <v>1</v>
      </c>
      <c r="U205" s="2">
        <v>6.2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2:31" x14ac:dyDescent="0.25">
      <c r="B206" s="5">
        <v>209</v>
      </c>
      <c r="C206" s="5">
        <v>27</v>
      </c>
      <c r="D206" s="5">
        <v>2</v>
      </c>
      <c r="E206" s="5" t="s">
        <v>1031</v>
      </c>
      <c r="F206" s="4"/>
      <c r="G206" s="36" t="s">
        <v>1142</v>
      </c>
      <c r="H206" s="36" t="s">
        <v>1250</v>
      </c>
      <c r="I206" s="36" t="s">
        <v>1356</v>
      </c>
      <c r="J206" s="36" t="s">
        <v>1441</v>
      </c>
      <c r="K206" s="4"/>
      <c r="L206" s="4"/>
      <c r="M206" s="4"/>
      <c r="N206" s="4"/>
      <c r="O206" s="4"/>
      <c r="P206" s="2" t="s">
        <v>189</v>
      </c>
      <c r="Q206" s="4"/>
      <c r="R206" s="4"/>
      <c r="S206" s="4"/>
      <c r="T206" s="4">
        <v>1</v>
      </c>
      <c r="U206" s="2">
        <v>6.3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2:31" x14ac:dyDescent="0.25">
      <c r="B207" s="5">
        <v>210</v>
      </c>
      <c r="C207" s="5">
        <v>27</v>
      </c>
      <c r="D207" s="5">
        <v>2</v>
      </c>
      <c r="E207" s="5" t="s">
        <v>1032</v>
      </c>
      <c r="F207" s="4"/>
      <c r="G207" s="36" t="s">
        <v>1143</v>
      </c>
      <c r="H207" s="36" t="s">
        <v>1251</v>
      </c>
      <c r="I207" s="36" t="s">
        <v>1357</v>
      </c>
      <c r="J207" s="36" t="s">
        <v>1442</v>
      </c>
      <c r="K207" s="4"/>
      <c r="L207" s="4"/>
      <c r="M207" s="4"/>
      <c r="N207" s="4"/>
      <c r="O207" s="4"/>
      <c r="P207" s="2" t="s">
        <v>189</v>
      </c>
      <c r="Q207" s="4"/>
      <c r="R207" s="4"/>
      <c r="S207" s="4"/>
      <c r="T207" s="4">
        <v>1</v>
      </c>
      <c r="U207" s="2">
        <v>6.3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2:31" x14ac:dyDescent="0.25">
      <c r="B208" s="5">
        <v>211</v>
      </c>
      <c r="C208" s="5">
        <v>27</v>
      </c>
      <c r="D208" s="5">
        <v>2</v>
      </c>
      <c r="E208" s="5" t="s">
        <v>1033</v>
      </c>
      <c r="F208" s="4"/>
      <c r="G208" s="36" t="s">
        <v>1144</v>
      </c>
      <c r="H208" s="36" t="s">
        <v>1252</v>
      </c>
      <c r="I208" s="36" t="s">
        <v>1358</v>
      </c>
      <c r="J208" s="36" t="s">
        <v>1408</v>
      </c>
      <c r="K208" s="4"/>
      <c r="L208" s="4"/>
      <c r="M208" s="4"/>
      <c r="N208" s="4"/>
      <c r="O208" s="4"/>
      <c r="P208" s="2" t="s">
        <v>183</v>
      </c>
      <c r="Q208" s="4"/>
      <c r="R208" s="4"/>
      <c r="S208" s="4"/>
      <c r="T208" s="4">
        <v>1</v>
      </c>
      <c r="U208" s="2">
        <v>6.3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2:31" x14ac:dyDescent="0.25">
      <c r="B209" s="5">
        <v>212</v>
      </c>
      <c r="C209" s="5">
        <v>27</v>
      </c>
      <c r="D209" s="5">
        <v>2</v>
      </c>
      <c r="E209" s="5" t="s">
        <v>1034</v>
      </c>
      <c r="F209" s="4"/>
      <c r="G209" s="36" t="s">
        <v>1145</v>
      </c>
      <c r="H209" s="36" t="s">
        <v>1253</v>
      </c>
      <c r="I209" s="36" t="s">
        <v>1359</v>
      </c>
      <c r="J209" s="36" t="s">
        <v>1443</v>
      </c>
      <c r="K209" s="4"/>
      <c r="L209" s="4"/>
      <c r="M209" s="4"/>
      <c r="N209" s="4"/>
      <c r="O209" s="4"/>
      <c r="P209" s="2" t="s">
        <v>255</v>
      </c>
      <c r="Q209" s="4"/>
      <c r="R209" s="4"/>
      <c r="S209" s="4"/>
      <c r="T209" s="4">
        <v>1</v>
      </c>
      <c r="U209" s="2">
        <v>6.4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2:31" x14ac:dyDescent="0.25">
      <c r="B210" s="5">
        <v>213</v>
      </c>
      <c r="C210" s="5">
        <v>27</v>
      </c>
      <c r="D210" s="5">
        <v>2</v>
      </c>
      <c r="E210" s="5" t="s">
        <v>1035</v>
      </c>
      <c r="F210" s="4"/>
      <c r="G210" s="36" t="s">
        <v>1146</v>
      </c>
      <c r="H210" s="36" t="s">
        <v>1254</v>
      </c>
      <c r="I210" s="36" t="s">
        <v>1360</v>
      </c>
      <c r="J210" s="36" t="s">
        <v>1408</v>
      </c>
      <c r="K210" s="4"/>
      <c r="L210" s="4"/>
      <c r="M210" s="4"/>
      <c r="N210" s="4"/>
      <c r="O210" s="4"/>
      <c r="P210" s="2" t="s">
        <v>255</v>
      </c>
      <c r="Q210" s="4"/>
      <c r="R210" s="4"/>
      <c r="S210" s="4"/>
      <c r="T210" s="4">
        <v>1</v>
      </c>
      <c r="U210" s="2">
        <v>6.4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2:31" x14ac:dyDescent="0.25">
      <c r="B211" s="5">
        <v>214</v>
      </c>
      <c r="C211" s="5">
        <v>27</v>
      </c>
      <c r="D211" s="5">
        <v>2</v>
      </c>
      <c r="E211" s="5" t="s">
        <v>1036</v>
      </c>
      <c r="F211" s="4"/>
      <c r="G211" s="36" t="s">
        <v>1147</v>
      </c>
      <c r="H211" s="36" t="s">
        <v>1255</v>
      </c>
      <c r="I211" s="36" t="s">
        <v>1361</v>
      </c>
      <c r="J211" s="36" t="s">
        <v>1408</v>
      </c>
      <c r="K211" s="4"/>
      <c r="L211" s="4"/>
      <c r="M211" s="4"/>
      <c r="N211" s="4"/>
      <c r="O211" s="4"/>
      <c r="P211" s="2" t="s">
        <v>255</v>
      </c>
      <c r="Q211" s="4"/>
      <c r="R211" s="4"/>
      <c r="S211" s="4"/>
      <c r="T211" s="4">
        <v>1</v>
      </c>
      <c r="U211" s="2">
        <v>6.4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2:31" x14ac:dyDescent="0.25">
      <c r="B212" s="5">
        <v>215</v>
      </c>
      <c r="C212" s="5">
        <v>27</v>
      </c>
      <c r="D212" s="5">
        <v>2</v>
      </c>
      <c r="E212" s="5" t="s">
        <v>1037</v>
      </c>
      <c r="F212" s="4"/>
      <c r="G212" s="36" t="s">
        <v>1149</v>
      </c>
      <c r="H212" s="36" t="s">
        <v>1256</v>
      </c>
      <c r="I212" s="36" t="s">
        <v>1362</v>
      </c>
      <c r="J212" s="36" t="s">
        <v>1443</v>
      </c>
      <c r="K212" s="4"/>
      <c r="L212" s="4"/>
      <c r="M212" s="4"/>
      <c r="N212" s="4"/>
      <c r="O212" s="4"/>
      <c r="P212" s="2" t="s">
        <v>207</v>
      </c>
      <c r="Q212" s="4"/>
      <c r="R212" s="4"/>
      <c r="S212" s="4"/>
      <c r="T212" s="4">
        <v>1</v>
      </c>
      <c r="U212" s="2">
        <v>6.5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2:31" x14ac:dyDescent="0.25">
      <c r="B213" s="5">
        <v>216</v>
      </c>
      <c r="C213" s="5">
        <v>27</v>
      </c>
      <c r="D213" s="5">
        <v>2</v>
      </c>
      <c r="E213" s="5" t="s">
        <v>1038</v>
      </c>
      <c r="F213" s="4"/>
      <c r="G213" s="36" t="s">
        <v>1149</v>
      </c>
      <c r="H213" s="36" t="s">
        <v>1256</v>
      </c>
      <c r="I213" s="36" t="s">
        <v>1402</v>
      </c>
      <c r="J213" s="36" t="s">
        <v>1444</v>
      </c>
      <c r="K213" s="4"/>
      <c r="L213" s="4"/>
      <c r="M213" s="4"/>
      <c r="N213" s="4"/>
      <c r="O213" s="4"/>
      <c r="P213" s="2" t="s">
        <v>207</v>
      </c>
      <c r="Q213" s="4"/>
      <c r="R213" s="4"/>
      <c r="S213" s="4"/>
      <c r="T213" s="4">
        <v>1</v>
      </c>
      <c r="U213" s="2">
        <v>6.5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2:31" x14ac:dyDescent="0.25">
      <c r="B214" s="5">
        <v>217</v>
      </c>
      <c r="C214" s="5">
        <v>27</v>
      </c>
      <c r="D214" s="5">
        <v>2</v>
      </c>
      <c r="E214" s="5" t="s">
        <v>1039</v>
      </c>
      <c r="F214" s="4"/>
      <c r="G214" s="36" t="s">
        <v>1473</v>
      </c>
      <c r="H214" s="36" t="s">
        <v>1257</v>
      </c>
      <c r="I214" s="36" t="s">
        <v>1506</v>
      </c>
      <c r="J214" s="36" t="s">
        <v>1408</v>
      </c>
      <c r="K214" s="4"/>
      <c r="L214" s="4"/>
      <c r="M214" s="4"/>
      <c r="N214" s="4"/>
      <c r="O214" s="4"/>
      <c r="P214" s="2" t="s">
        <v>255</v>
      </c>
      <c r="Q214" s="4"/>
      <c r="R214" s="4"/>
      <c r="S214" s="4"/>
      <c r="T214" s="4">
        <v>1</v>
      </c>
      <c r="U214" s="2">
        <v>6.5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2:31" x14ac:dyDescent="0.25">
      <c r="B215" s="5">
        <v>218</v>
      </c>
      <c r="C215" s="5">
        <v>27</v>
      </c>
      <c r="D215" s="5">
        <v>2</v>
      </c>
      <c r="E215" s="5" t="s">
        <v>1040</v>
      </c>
      <c r="F215" s="4"/>
      <c r="G215" s="36" t="s">
        <v>1151</v>
      </c>
      <c r="H215" s="36" t="s">
        <v>1493</v>
      </c>
      <c r="I215" s="36" t="s">
        <v>1365</v>
      </c>
      <c r="J215" s="36" t="s">
        <v>1445</v>
      </c>
      <c r="K215" s="4"/>
      <c r="L215" s="4"/>
      <c r="M215" s="4"/>
      <c r="N215" s="4"/>
      <c r="O215" s="4"/>
      <c r="P215" s="2" t="s">
        <v>183</v>
      </c>
      <c r="Q215" s="4"/>
      <c r="R215" s="4"/>
      <c r="S215" s="4"/>
      <c r="T215" s="4">
        <v>1</v>
      </c>
      <c r="U215" s="2">
        <v>7.1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2:31" x14ac:dyDescent="0.25">
      <c r="B216" s="5">
        <v>219</v>
      </c>
      <c r="C216" s="5">
        <v>27</v>
      </c>
      <c r="D216" s="5">
        <v>2</v>
      </c>
      <c r="E216" s="5" t="s">
        <v>1041</v>
      </c>
      <c r="F216" s="4"/>
      <c r="G216" s="36" t="s">
        <v>1152</v>
      </c>
      <c r="H216" s="36" t="s">
        <v>1259</v>
      </c>
      <c r="I216" s="36" t="s">
        <v>1366</v>
      </c>
      <c r="J216" s="36" t="s">
        <v>1431</v>
      </c>
      <c r="K216" s="4"/>
      <c r="L216" s="4"/>
      <c r="M216" s="4"/>
      <c r="N216" s="4"/>
      <c r="O216" s="4"/>
      <c r="P216" s="2" t="s">
        <v>255</v>
      </c>
      <c r="Q216" s="4"/>
      <c r="R216" s="4"/>
      <c r="S216" s="4"/>
      <c r="T216" s="4">
        <v>1</v>
      </c>
      <c r="U216" s="2">
        <v>7.1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2:31" x14ac:dyDescent="0.25">
      <c r="B217" s="5">
        <v>220</v>
      </c>
      <c r="C217" s="5">
        <v>27</v>
      </c>
      <c r="D217" s="5">
        <v>2</v>
      </c>
      <c r="E217" s="5" t="s">
        <v>1042</v>
      </c>
      <c r="F217" s="4"/>
      <c r="G217" s="36" t="s">
        <v>1153</v>
      </c>
      <c r="H217" s="36" t="s">
        <v>1251</v>
      </c>
      <c r="I217" s="36" t="s">
        <v>1367</v>
      </c>
      <c r="J217" s="36" t="s">
        <v>1517</v>
      </c>
      <c r="K217" s="4"/>
      <c r="L217" s="4"/>
      <c r="M217" s="4"/>
      <c r="N217" s="4"/>
      <c r="O217" s="4"/>
      <c r="P217" s="2" t="s">
        <v>189</v>
      </c>
      <c r="Q217" s="4"/>
      <c r="R217" s="4"/>
      <c r="S217" s="4"/>
      <c r="T217" s="4">
        <v>1</v>
      </c>
      <c r="U217" s="2">
        <v>7.1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2:31" x14ac:dyDescent="0.25">
      <c r="B218" s="5">
        <v>221</v>
      </c>
      <c r="C218" s="5">
        <v>27</v>
      </c>
      <c r="D218" s="5">
        <v>2</v>
      </c>
      <c r="E218" s="5" t="s">
        <v>1043</v>
      </c>
      <c r="F218" s="4"/>
      <c r="G218" s="36" t="s">
        <v>1154</v>
      </c>
      <c r="H218" s="36" t="s">
        <v>1261</v>
      </c>
      <c r="I218" s="36" t="s">
        <v>1368</v>
      </c>
      <c r="J218" s="36" t="s">
        <v>1518</v>
      </c>
      <c r="K218" s="4"/>
      <c r="L218" s="4"/>
      <c r="M218" s="4"/>
      <c r="N218" s="4"/>
      <c r="O218" s="4"/>
      <c r="P218" s="2" t="s">
        <v>207</v>
      </c>
      <c r="Q218" s="4"/>
      <c r="R218" s="4"/>
      <c r="S218" s="4"/>
      <c r="T218" s="4">
        <v>1</v>
      </c>
      <c r="U218" s="2">
        <v>7.2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2:31" x14ac:dyDescent="0.25">
      <c r="B219" s="5">
        <v>222</v>
      </c>
      <c r="C219" s="5">
        <v>27</v>
      </c>
      <c r="D219" s="5">
        <v>2</v>
      </c>
      <c r="E219" s="5" t="s">
        <v>1044</v>
      </c>
      <c r="F219" s="4"/>
      <c r="G219" s="36" t="s">
        <v>1155</v>
      </c>
      <c r="H219" s="36" t="s">
        <v>1262</v>
      </c>
      <c r="I219" s="36" t="s">
        <v>1369</v>
      </c>
      <c r="J219" s="36" t="s">
        <v>961</v>
      </c>
      <c r="K219" s="4"/>
      <c r="L219" s="4"/>
      <c r="M219" s="4"/>
      <c r="N219" s="4"/>
      <c r="O219" s="4"/>
      <c r="P219" s="2" t="s">
        <v>189</v>
      </c>
      <c r="Q219" s="4"/>
      <c r="R219" s="4"/>
      <c r="S219" s="4"/>
      <c r="T219" s="4">
        <v>1</v>
      </c>
      <c r="U219" s="2">
        <v>7.2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2:31" x14ac:dyDescent="0.25">
      <c r="B220" s="5">
        <v>223</v>
      </c>
      <c r="C220" s="5">
        <v>27</v>
      </c>
      <c r="D220" s="5">
        <v>2</v>
      </c>
      <c r="E220" s="5" t="s">
        <v>1045</v>
      </c>
      <c r="F220" s="4"/>
      <c r="G220" s="36" t="s">
        <v>1474</v>
      </c>
      <c r="H220" s="36" t="s">
        <v>1263</v>
      </c>
      <c r="I220" s="36" t="s">
        <v>1370</v>
      </c>
      <c r="J220" s="36" t="s">
        <v>961</v>
      </c>
      <c r="K220" s="4"/>
      <c r="L220" s="4"/>
      <c r="M220" s="4"/>
      <c r="N220" s="4"/>
      <c r="O220" s="4"/>
      <c r="P220" s="2" t="s">
        <v>207</v>
      </c>
      <c r="Q220" s="4"/>
      <c r="R220" s="4"/>
      <c r="S220" s="4"/>
      <c r="T220" s="4">
        <v>1</v>
      </c>
      <c r="U220" s="2">
        <v>7.2</v>
      </c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2:31" x14ac:dyDescent="0.25">
      <c r="B221" s="5">
        <v>224</v>
      </c>
      <c r="C221" s="5">
        <v>27</v>
      </c>
      <c r="D221" s="5">
        <v>2</v>
      </c>
      <c r="E221" s="5" t="s">
        <v>1046</v>
      </c>
      <c r="F221" s="4"/>
      <c r="G221" s="36" t="s">
        <v>1157</v>
      </c>
      <c r="H221" s="36" t="s">
        <v>1492</v>
      </c>
      <c r="I221" s="36" t="s">
        <v>1371</v>
      </c>
      <c r="J221" s="36" t="s">
        <v>1448</v>
      </c>
      <c r="K221" s="4"/>
      <c r="L221" s="4"/>
      <c r="M221" s="4"/>
      <c r="N221" s="4"/>
      <c r="O221" s="4"/>
      <c r="P221" s="2" t="s">
        <v>255</v>
      </c>
      <c r="Q221" s="4"/>
      <c r="R221" s="4"/>
      <c r="S221" s="4"/>
      <c r="T221" s="4">
        <v>1</v>
      </c>
      <c r="U221" s="2">
        <v>7.3</v>
      </c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2:31" x14ac:dyDescent="0.25">
      <c r="B222" s="5">
        <v>225</v>
      </c>
      <c r="C222" s="5">
        <v>27</v>
      </c>
      <c r="D222" s="5">
        <v>2</v>
      </c>
      <c r="E222" s="5" t="s">
        <v>1047</v>
      </c>
      <c r="F222" s="4"/>
      <c r="G222" s="36" t="s">
        <v>1475</v>
      </c>
      <c r="H222" s="36" t="s">
        <v>1494</v>
      </c>
      <c r="I222" s="36" t="s">
        <v>1507</v>
      </c>
      <c r="J222" s="36" t="s">
        <v>1431</v>
      </c>
      <c r="K222" s="4"/>
      <c r="L222" s="4"/>
      <c r="M222" s="4"/>
      <c r="N222" s="4"/>
      <c r="O222" s="4"/>
      <c r="P222" s="2" t="s">
        <v>255</v>
      </c>
      <c r="Q222" s="4"/>
      <c r="R222" s="4"/>
      <c r="S222" s="4"/>
      <c r="T222" s="4">
        <v>1</v>
      </c>
      <c r="U222" s="2">
        <v>7.3</v>
      </c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2:31" x14ac:dyDescent="0.25">
      <c r="B223" s="5">
        <v>226</v>
      </c>
      <c r="C223" s="5">
        <v>27</v>
      </c>
      <c r="D223" s="5">
        <v>2</v>
      </c>
      <c r="E223" s="5" t="s">
        <v>1048</v>
      </c>
      <c r="F223" s="4"/>
      <c r="G223" s="36" t="s">
        <v>1159</v>
      </c>
      <c r="H223" s="36" t="s">
        <v>1265</v>
      </c>
      <c r="I223" s="36" t="s">
        <v>1373</v>
      </c>
      <c r="J223" s="36" t="s">
        <v>1418</v>
      </c>
      <c r="K223" s="4"/>
      <c r="L223" s="4"/>
      <c r="M223" s="4"/>
      <c r="N223" s="4"/>
      <c r="O223" s="4"/>
      <c r="P223" s="2" t="s">
        <v>255</v>
      </c>
      <c r="Q223" s="4"/>
      <c r="R223" s="4"/>
      <c r="S223" s="4"/>
      <c r="T223" s="4">
        <v>1</v>
      </c>
      <c r="U223" s="2">
        <v>7.3</v>
      </c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2:31" x14ac:dyDescent="0.25">
      <c r="B224" s="5">
        <v>227</v>
      </c>
      <c r="C224" s="5">
        <v>27</v>
      </c>
      <c r="D224" s="5">
        <v>2</v>
      </c>
      <c r="E224" s="5" t="s">
        <v>1049</v>
      </c>
      <c r="F224" s="4"/>
      <c r="G224" s="36" t="s">
        <v>1476</v>
      </c>
      <c r="H224" s="36" t="s">
        <v>1266</v>
      </c>
      <c r="I224" s="36" t="s">
        <v>1374</v>
      </c>
      <c r="J224" s="36" t="s">
        <v>1449</v>
      </c>
      <c r="K224" s="4"/>
      <c r="L224" s="4"/>
      <c r="M224" s="4"/>
      <c r="N224" s="4"/>
      <c r="O224" s="4"/>
      <c r="P224" s="2" t="s">
        <v>189</v>
      </c>
      <c r="Q224" s="4"/>
      <c r="R224" s="4"/>
      <c r="S224" s="4"/>
      <c r="T224" s="4">
        <v>1</v>
      </c>
      <c r="U224" s="2">
        <v>8.1</v>
      </c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2:31" x14ac:dyDescent="0.25">
      <c r="B225" s="5">
        <v>228</v>
      </c>
      <c r="C225" s="5">
        <v>27</v>
      </c>
      <c r="D225" s="5">
        <v>2</v>
      </c>
      <c r="E225" s="5" t="s">
        <v>1050</v>
      </c>
      <c r="F225" s="4"/>
      <c r="G225" s="36" t="s">
        <v>1161</v>
      </c>
      <c r="H225" s="36" t="s">
        <v>1267</v>
      </c>
      <c r="I225" s="36" t="s">
        <v>1375</v>
      </c>
      <c r="J225" s="36" t="s">
        <v>1450</v>
      </c>
      <c r="K225" s="4"/>
      <c r="L225" s="4"/>
      <c r="M225" s="4"/>
      <c r="N225" s="4"/>
      <c r="O225" s="4"/>
      <c r="P225" s="2" t="s">
        <v>183</v>
      </c>
      <c r="Q225" s="4"/>
      <c r="R225" s="4"/>
      <c r="S225" s="4"/>
      <c r="T225" s="4">
        <v>1</v>
      </c>
      <c r="U225" s="2">
        <v>8.1</v>
      </c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2:31" x14ac:dyDescent="0.25">
      <c r="B226" s="5">
        <v>229</v>
      </c>
      <c r="C226" s="5">
        <v>27</v>
      </c>
      <c r="D226" s="5">
        <v>2</v>
      </c>
      <c r="E226" s="5" t="s">
        <v>1051</v>
      </c>
      <c r="F226" s="4"/>
      <c r="G226" s="36" t="s">
        <v>1477</v>
      </c>
      <c r="H226" s="36" t="s">
        <v>1268</v>
      </c>
      <c r="I226" s="36" t="s">
        <v>1376</v>
      </c>
      <c r="J226" s="36" t="s">
        <v>1451</v>
      </c>
      <c r="K226" s="4"/>
      <c r="L226" s="4"/>
      <c r="M226" s="4"/>
      <c r="N226" s="4"/>
      <c r="O226" s="4"/>
      <c r="P226" s="2" t="s">
        <v>189</v>
      </c>
      <c r="Q226" s="4"/>
      <c r="R226" s="4"/>
      <c r="S226" s="4"/>
      <c r="T226" s="4">
        <v>1</v>
      </c>
      <c r="U226" s="2">
        <v>8.1</v>
      </c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2:31" x14ac:dyDescent="0.25">
      <c r="B227" s="5">
        <v>230</v>
      </c>
      <c r="C227" s="5">
        <v>27</v>
      </c>
      <c r="D227" s="5">
        <v>2</v>
      </c>
      <c r="E227" s="5" t="s">
        <v>1052</v>
      </c>
      <c r="F227" s="4"/>
      <c r="G227" s="36" t="s">
        <v>1478</v>
      </c>
      <c r="H227" s="36" t="s">
        <v>1269</v>
      </c>
      <c r="I227" s="36" t="s">
        <v>1377</v>
      </c>
      <c r="J227" s="36" t="s">
        <v>961</v>
      </c>
      <c r="K227" s="4"/>
      <c r="L227" s="4"/>
      <c r="M227" s="4"/>
      <c r="N227" s="4"/>
      <c r="O227" s="4"/>
      <c r="P227" s="2" t="s">
        <v>189</v>
      </c>
      <c r="Q227" s="4"/>
      <c r="R227" s="4"/>
      <c r="S227" s="4"/>
      <c r="T227" s="4">
        <v>1</v>
      </c>
      <c r="U227" s="2">
        <v>8.1999999999999993</v>
      </c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2:31" x14ac:dyDescent="0.25">
      <c r="B228" s="5">
        <v>231</v>
      </c>
      <c r="C228" s="5">
        <v>27</v>
      </c>
      <c r="D228" s="5">
        <v>2</v>
      </c>
      <c r="E228" s="5" t="s">
        <v>1053</v>
      </c>
      <c r="F228" s="4"/>
      <c r="G228" s="36" t="s">
        <v>1085</v>
      </c>
      <c r="H228" s="36" t="s">
        <v>1236</v>
      </c>
      <c r="I228" s="36" t="s">
        <v>1378</v>
      </c>
      <c r="J228" s="36" t="s">
        <v>1408</v>
      </c>
      <c r="K228" s="4"/>
      <c r="L228" s="4"/>
      <c r="M228" s="4"/>
      <c r="N228" s="4"/>
      <c r="O228" s="4"/>
      <c r="P228" s="2" t="s">
        <v>255</v>
      </c>
      <c r="Q228" s="4"/>
      <c r="R228" s="4"/>
      <c r="S228" s="4"/>
      <c r="T228" s="4">
        <v>1</v>
      </c>
      <c r="U228" s="2">
        <v>8.1999999999999993</v>
      </c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2:31" x14ac:dyDescent="0.25">
      <c r="B229" s="5">
        <v>232</v>
      </c>
      <c r="C229" s="5">
        <v>27</v>
      </c>
      <c r="D229" s="5">
        <v>2</v>
      </c>
      <c r="E229" s="5" t="s">
        <v>1054</v>
      </c>
      <c r="F229" s="4"/>
      <c r="G229" s="36" t="s">
        <v>1164</v>
      </c>
      <c r="H229" s="36" t="s">
        <v>1236</v>
      </c>
      <c r="I229" s="36" t="s">
        <v>1379</v>
      </c>
      <c r="J229" s="36" t="s">
        <v>1413</v>
      </c>
      <c r="K229" s="4"/>
      <c r="L229" s="4"/>
      <c r="M229" s="4"/>
      <c r="N229" s="4"/>
      <c r="O229" s="4"/>
      <c r="P229" s="2" t="s">
        <v>207</v>
      </c>
      <c r="Q229" s="4"/>
      <c r="R229" s="4"/>
      <c r="S229" s="4"/>
      <c r="T229" s="4">
        <v>1</v>
      </c>
      <c r="U229" s="2">
        <v>8.1999999999999993</v>
      </c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2:31" x14ac:dyDescent="0.25">
      <c r="B230" s="5">
        <v>233</v>
      </c>
      <c r="C230" s="5">
        <v>27</v>
      </c>
      <c r="D230" s="5">
        <v>2</v>
      </c>
      <c r="E230" s="5" t="s">
        <v>1055</v>
      </c>
      <c r="F230" s="4"/>
      <c r="G230" s="36" t="s">
        <v>1165</v>
      </c>
      <c r="H230" s="36" t="s">
        <v>1271</v>
      </c>
      <c r="I230" s="36" t="s">
        <v>1380</v>
      </c>
      <c r="J230" s="36" t="s">
        <v>1413</v>
      </c>
      <c r="K230" s="4"/>
      <c r="L230" s="4"/>
      <c r="M230" s="4"/>
      <c r="N230" s="4"/>
      <c r="O230" s="4"/>
      <c r="P230" s="2" t="s">
        <v>255</v>
      </c>
      <c r="Q230" s="4"/>
      <c r="R230" s="4"/>
      <c r="S230" s="4"/>
      <c r="T230" s="4">
        <v>1</v>
      </c>
      <c r="U230" s="2">
        <v>8.3000000000000007</v>
      </c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2:31" x14ac:dyDescent="0.25">
      <c r="B231" s="5">
        <v>234</v>
      </c>
      <c r="C231" s="5">
        <v>27</v>
      </c>
      <c r="D231" s="5">
        <v>2</v>
      </c>
      <c r="E231" s="5" t="s">
        <v>1056</v>
      </c>
      <c r="F231" s="4"/>
      <c r="G231" s="36" t="s">
        <v>1479</v>
      </c>
      <c r="H231" s="36" t="s">
        <v>1272</v>
      </c>
      <c r="I231" s="36" t="s">
        <v>1381</v>
      </c>
      <c r="J231" s="36" t="s">
        <v>1413</v>
      </c>
      <c r="K231" s="4"/>
      <c r="L231" s="4"/>
      <c r="M231" s="4"/>
      <c r="N231" s="4"/>
      <c r="O231" s="4"/>
      <c r="P231" s="2" t="s">
        <v>183</v>
      </c>
      <c r="Q231" s="4"/>
      <c r="R231" s="4"/>
      <c r="S231" s="4"/>
      <c r="T231" s="4">
        <v>1</v>
      </c>
      <c r="U231" s="2">
        <v>8.3000000000000007</v>
      </c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2:31" x14ac:dyDescent="0.25">
      <c r="B232" s="5">
        <v>235</v>
      </c>
      <c r="C232" s="5">
        <v>27</v>
      </c>
      <c r="D232" s="5">
        <v>2</v>
      </c>
      <c r="E232" s="5" t="s">
        <v>1057</v>
      </c>
      <c r="F232" s="4"/>
      <c r="G232" s="36" t="s">
        <v>1167</v>
      </c>
      <c r="H232" s="36" t="s">
        <v>1273</v>
      </c>
      <c r="I232" s="36" t="s">
        <v>1382</v>
      </c>
      <c r="J232" s="36" t="s">
        <v>961</v>
      </c>
      <c r="K232" s="4"/>
      <c r="L232" s="4"/>
      <c r="M232" s="4"/>
      <c r="N232" s="4"/>
      <c r="O232" s="4"/>
      <c r="P232" s="2" t="s">
        <v>183</v>
      </c>
      <c r="Q232" s="4"/>
      <c r="R232" s="4"/>
      <c r="S232" s="4"/>
      <c r="T232" s="4">
        <v>1</v>
      </c>
      <c r="U232" s="2">
        <v>8.3000000000000007</v>
      </c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2:31" x14ac:dyDescent="0.25">
      <c r="B233" s="5">
        <v>236</v>
      </c>
      <c r="C233" s="5">
        <v>27</v>
      </c>
      <c r="D233" s="5">
        <v>2</v>
      </c>
      <c r="E233" s="5" t="s">
        <v>1058</v>
      </c>
      <c r="F233" s="4"/>
      <c r="G233" s="36" t="s">
        <v>1168</v>
      </c>
      <c r="H233" s="36" t="s">
        <v>1274</v>
      </c>
      <c r="I233" s="36" t="s">
        <v>1383</v>
      </c>
      <c r="J233" s="36" t="s">
        <v>1452</v>
      </c>
      <c r="K233" s="4"/>
      <c r="L233" s="4"/>
      <c r="M233" s="4"/>
      <c r="N233" s="4"/>
      <c r="O233" s="4"/>
      <c r="P233" s="2" t="s">
        <v>207</v>
      </c>
      <c r="Q233" s="4"/>
      <c r="R233" s="4"/>
      <c r="S233" s="4"/>
      <c r="T233" s="4">
        <v>1</v>
      </c>
      <c r="U233" s="2">
        <v>8.4</v>
      </c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2:31" x14ac:dyDescent="0.25">
      <c r="B234" s="5">
        <v>237</v>
      </c>
      <c r="C234" s="5">
        <v>27</v>
      </c>
      <c r="D234" s="5">
        <v>2</v>
      </c>
      <c r="E234" s="5" t="s">
        <v>1059</v>
      </c>
      <c r="F234" s="4"/>
      <c r="G234" s="36" t="s">
        <v>1169</v>
      </c>
      <c r="H234" s="36" t="s">
        <v>1495</v>
      </c>
      <c r="I234" s="36" t="s">
        <v>1384</v>
      </c>
      <c r="J234" s="36" t="s">
        <v>1413</v>
      </c>
      <c r="K234" s="4"/>
      <c r="L234" s="4"/>
      <c r="M234" s="4"/>
      <c r="N234" s="4"/>
      <c r="O234" s="4"/>
      <c r="P234" s="2" t="s">
        <v>183</v>
      </c>
      <c r="Q234" s="4"/>
      <c r="R234" s="4"/>
      <c r="S234" s="4"/>
      <c r="T234" s="4">
        <v>1</v>
      </c>
      <c r="U234" s="2">
        <v>8.4</v>
      </c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2:31" x14ac:dyDescent="0.25">
      <c r="B235" s="5">
        <v>238</v>
      </c>
      <c r="C235" s="5">
        <v>27</v>
      </c>
      <c r="D235" s="5">
        <v>2</v>
      </c>
      <c r="E235" s="5" t="s">
        <v>1060</v>
      </c>
      <c r="F235" s="4"/>
      <c r="G235" s="36" t="s">
        <v>1480</v>
      </c>
      <c r="H235" s="36" t="s">
        <v>1276</v>
      </c>
      <c r="I235" s="36" t="s">
        <v>1508</v>
      </c>
      <c r="J235" s="36" t="s">
        <v>1519</v>
      </c>
      <c r="K235" s="4"/>
      <c r="L235" s="4"/>
      <c r="M235" s="4"/>
      <c r="N235" s="4"/>
      <c r="O235" s="4"/>
      <c r="P235" s="2" t="s">
        <v>189</v>
      </c>
      <c r="Q235" s="4"/>
      <c r="R235" s="4"/>
      <c r="S235" s="4"/>
      <c r="T235" s="4">
        <v>1</v>
      </c>
      <c r="U235" s="2">
        <v>8.4</v>
      </c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2:31" x14ac:dyDescent="0.25">
      <c r="B236" s="5">
        <v>239</v>
      </c>
      <c r="C236" s="5">
        <v>27</v>
      </c>
      <c r="D236" s="5">
        <v>2</v>
      </c>
      <c r="E236" s="5" t="s">
        <v>1061</v>
      </c>
      <c r="F236" s="4"/>
      <c r="G236" s="36" t="s">
        <v>1171</v>
      </c>
      <c r="H236" s="36" t="s">
        <v>1277</v>
      </c>
      <c r="I236" s="36" t="s">
        <v>1386</v>
      </c>
      <c r="J236" s="36" t="s">
        <v>1455</v>
      </c>
      <c r="K236" s="4"/>
      <c r="L236" s="4"/>
      <c r="M236" s="4"/>
      <c r="N236" s="4"/>
      <c r="O236" s="4"/>
      <c r="P236" s="2" t="s">
        <v>189</v>
      </c>
      <c r="Q236" s="4"/>
      <c r="R236" s="4"/>
      <c r="S236" s="4"/>
      <c r="T236" s="4">
        <v>1</v>
      </c>
      <c r="U236" s="2">
        <v>8.5</v>
      </c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2:31" x14ac:dyDescent="0.25">
      <c r="B237" s="5">
        <v>240</v>
      </c>
      <c r="C237" s="5">
        <v>27</v>
      </c>
      <c r="D237" s="5">
        <v>2</v>
      </c>
      <c r="E237" s="5" t="s">
        <v>1062</v>
      </c>
      <c r="F237" s="4"/>
      <c r="G237" s="36" t="s">
        <v>1481</v>
      </c>
      <c r="H237" s="36" t="s">
        <v>1277</v>
      </c>
      <c r="I237" s="36" t="s">
        <v>1386</v>
      </c>
      <c r="J237" s="36" t="s">
        <v>1455</v>
      </c>
      <c r="K237" s="4"/>
      <c r="L237" s="4"/>
      <c r="M237" s="4"/>
      <c r="N237" s="4"/>
      <c r="O237" s="4"/>
      <c r="P237" s="2" t="s">
        <v>207</v>
      </c>
      <c r="Q237" s="4"/>
      <c r="R237" s="4"/>
      <c r="S237" s="4"/>
      <c r="T237" s="4">
        <v>1</v>
      </c>
      <c r="U237" s="2">
        <v>8.5</v>
      </c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2:31" x14ac:dyDescent="0.25">
      <c r="B238" s="5">
        <v>241</v>
      </c>
      <c r="C238" s="5">
        <v>27</v>
      </c>
      <c r="D238" s="5">
        <v>2</v>
      </c>
      <c r="E238" s="5" t="s">
        <v>1063</v>
      </c>
      <c r="F238" s="4"/>
      <c r="G238" s="36" t="s">
        <v>1173</v>
      </c>
      <c r="H238" s="36" t="s">
        <v>1278</v>
      </c>
      <c r="I238" s="36" t="s">
        <v>1388</v>
      </c>
      <c r="J238" s="36" t="s">
        <v>1456</v>
      </c>
      <c r="K238" s="4"/>
      <c r="L238" s="4"/>
      <c r="M238" s="4"/>
      <c r="N238" s="4"/>
      <c r="O238" s="4"/>
      <c r="P238" s="2" t="s">
        <v>255</v>
      </c>
      <c r="Q238" s="4"/>
      <c r="R238" s="4"/>
      <c r="S238" s="4"/>
      <c r="T238" s="4">
        <v>1</v>
      </c>
      <c r="U238" s="2">
        <v>8.5</v>
      </c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2:31" x14ac:dyDescent="0.25">
      <c r="B239" s="5">
        <v>242</v>
      </c>
      <c r="C239" s="5">
        <v>27</v>
      </c>
      <c r="D239" s="5">
        <v>2</v>
      </c>
      <c r="E239" s="5" t="s">
        <v>1064</v>
      </c>
      <c r="F239" s="4"/>
      <c r="G239" s="36" t="s">
        <v>1119</v>
      </c>
      <c r="H239" s="36" t="s">
        <v>1279</v>
      </c>
      <c r="I239" s="36" t="s">
        <v>1509</v>
      </c>
      <c r="J239" s="36" t="s">
        <v>1457</v>
      </c>
      <c r="K239" s="4"/>
      <c r="L239" s="4"/>
      <c r="M239" s="4"/>
      <c r="N239" s="4"/>
      <c r="O239" s="4"/>
      <c r="P239" s="2" t="s">
        <v>183</v>
      </c>
      <c r="Q239" s="4"/>
      <c r="R239" s="4"/>
      <c r="S239" s="4"/>
      <c r="T239" s="4">
        <v>1</v>
      </c>
      <c r="U239" s="2">
        <v>9.1</v>
      </c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2:31" x14ac:dyDescent="0.25">
      <c r="B240" s="5">
        <v>243</v>
      </c>
      <c r="C240" s="5">
        <v>27</v>
      </c>
      <c r="D240" s="5">
        <v>2</v>
      </c>
      <c r="E240" s="5" t="s">
        <v>1065</v>
      </c>
      <c r="F240" s="4"/>
      <c r="G240" s="36" t="s">
        <v>1119</v>
      </c>
      <c r="H240" s="36" t="s">
        <v>1279</v>
      </c>
      <c r="I240" s="36" t="s">
        <v>1509</v>
      </c>
      <c r="J240" s="36" t="s">
        <v>1457</v>
      </c>
      <c r="K240" s="4"/>
      <c r="L240" s="4"/>
      <c r="M240" s="4"/>
      <c r="N240" s="4"/>
      <c r="O240" s="4"/>
      <c r="P240" s="2" t="s">
        <v>255</v>
      </c>
      <c r="Q240" s="4"/>
      <c r="R240" s="4"/>
      <c r="S240" s="4"/>
      <c r="T240" s="4">
        <v>1</v>
      </c>
      <c r="U240" s="2">
        <v>9.1</v>
      </c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2:31" x14ac:dyDescent="0.25">
      <c r="B241" s="5">
        <v>244</v>
      </c>
      <c r="C241" s="5">
        <v>27</v>
      </c>
      <c r="D241" s="5">
        <v>2</v>
      </c>
      <c r="E241" s="5" t="s">
        <v>1066</v>
      </c>
      <c r="F241" s="4"/>
      <c r="G241" s="36" t="s">
        <v>1119</v>
      </c>
      <c r="H241" s="36" t="s">
        <v>1279</v>
      </c>
      <c r="I241" s="36" t="s">
        <v>1509</v>
      </c>
      <c r="J241" s="36" t="s">
        <v>1457</v>
      </c>
      <c r="K241" s="4"/>
      <c r="L241" s="4"/>
      <c r="M241" s="4"/>
      <c r="N241" s="4"/>
      <c r="O241" s="4"/>
      <c r="P241" s="2" t="s">
        <v>255</v>
      </c>
      <c r="Q241" s="4"/>
      <c r="R241" s="4"/>
      <c r="S241" s="4"/>
      <c r="T241" s="4">
        <v>1</v>
      </c>
      <c r="U241" s="2">
        <v>9.1</v>
      </c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2:31" x14ac:dyDescent="0.25">
      <c r="B242" s="5">
        <v>245</v>
      </c>
      <c r="C242" s="5">
        <v>27</v>
      </c>
      <c r="D242" s="5">
        <v>2</v>
      </c>
      <c r="E242" s="5" t="s">
        <v>1067</v>
      </c>
      <c r="F242" s="4"/>
      <c r="G242" s="36" t="s">
        <v>1175</v>
      </c>
      <c r="H242" s="36" t="s">
        <v>1496</v>
      </c>
      <c r="I242" s="36" t="s">
        <v>1390</v>
      </c>
      <c r="J242" s="36" t="s">
        <v>1448</v>
      </c>
      <c r="K242" s="4"/>
      <c r="L242" s="4"/>
      <c r="M242" s="4"/>
      <c r="N242" s="4"/>
      <c r="O242" s="4"/>
      <c r="P242" s="2" t="s">
        <v>255</v>
      </c>
      <c r="Q242" s="4"/>
      <c r="R242" s="4"/>
      <c r="S242" s="4"/>
      <c r="T242" s="4">
        <v>1</v>
      </c>
      <c r="U242" s="2">
        <v>9.1999999999999993</v>
      </c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2:31" x14ac:dyDescent="0.25">
      <c r="B243" s="5">
        <v>246</v>
      </c>
      <c r="C243" s="5">
        <v>27</v>
      </c>
      <c r="D243" s="5">
        <v>2</v>
      </c>
      <c r="E243" s="5" t="s">
        <v>1068</v>
      </c>
      <c r="F243" s="4"/>
      <c r="G243" s="36" t="s">
        <v>1176</v>
      </c>
      <c r="H243" s="36" t="s">
        <v>1281</v>
      </c>
      <c r="I243" s="36" t="s">
        <v>1391</v>
      </c>
      <c r="J243" s="36" t="s">
        <v>1520</v>
      </c>
      <c r="K243" s="4"/>
      <c r="L243" s="4"/>
      <c r="M243" s="4"/>
      <c r="N243" s="4"/>
      <c r="O243" s="4"/>
      <c r="P243" s="2" t="s">
        <v>255</v>
      </c>
      <c r="Q243" s="4"/>
      <c r="R243" s="4"/>
      <c r="S243" s="4"/>
      <c r="T243" s="4">
        <v>1</v>
      </c>
      <c r="U243" s="2">
        <v>9.1999999999999993</v>
      </c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2:31" x14ac:dyDescent="0.25">
      <c r="B244" s="5">
        <v>247</v>
      </c>
      <c r="C244" s="5">
        <v>27</v>
      </c>
      <c r="D244" s="5">
        <v>2</v>
      </c>
      <c r="E244" s="5" t="s">
        <v>1069</v>
      </c>
      <c r="F244" s="4"/>
      <c r="G244" s="36" t="s">
        <v>1177</v>
      </c>
      <c r="H244" s="36" t="s">
        <v>1282</v>
      </c>
      <c r="I244" s="36" t="s">
        <v>1392</v>
      </c>
      <c r="J244" s="36" t="s">
        <v>1413</v>
      </c>
      <c r="K244" s="4"/>
      <c r="L244" s="4"/>
      <c r="M244" s="4"/>
      <c r="N244" s="4"/>
      <c r="O244" s="4"/>
      <c r="P244" s="2" t="s">
        <v>207</v>
      </c>
      <c r="Q244" s="4"/>
      <c r="R244" s="4"/>
      <c r="S244" s="4"/>
      <c r="T244" s="4">
        <v>1</v>
      </c>
      <c r="U244" s="2">
        <v>9.1999999999999993</v>
      </c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2:31" x14ac:dyDescent="0.25">
      <c r="B245" s="5">
        <v>248</v>
      </c>
      <c r="C245" s="5">
        <v>27</v>
      </c>
      <c r="D245" s="5">
        <v>2</v>
      </c>
      <c r="E245" s="5" t="s">
        <v>1070</v>
      </c>
      <c r="F245" s="4"/>
      <c r="G245" s="36" t="s">
        <v>1482</v>
      </c>
      <c r="H245" s="36" t="s">
        <v>1283</v>
      </c>
      <c r="I245" s="36" t="s">
        <v>1393</v>
      </c>
      <c r="J245" s="36" t="s">
        <v>1521</v>
      </c>
      <c r="K245" s="4"/>
      <c r="L245" s="4"/>
      <c r="M245" s="4"/>
      <c r="N245" s="4"/>
      <c r="O245" s="4"/>
      <c r="P245" s="2" t="s">
        <v>189</v>
      </c>
      <c r="Q245" s="4"/>
      <c r="R245" s="4"/>
      <c r="S245" s="4"/>
      <c r="T245" s="4">
        <v>1</v>
      </c>
      <c r="U245" s="2">
        <v>9.3000000000000007</v>
      </c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2:31" x14ac:dyDescent="0.25">
      <c r="B246" s="5">
        <v>249</v>
      </c>
      <c r="C246" s="5">
        <v>27</v>
      </c>
      <c r="D246" s="5">
        <v>2</v>
      </c>
      <c r="E246" s="5" t="s">
        <v>1071</v>
      </c>
      <c r="F246" s="4"/>
      <c r="G246" s="36" t="s">
        <v>1483</v>
      </c>
      <c r="H246" s="36" t="s">
        <v>1284</v>
      </c>
      <c r="I246" s="36" t="s">
        <v>1510</v>
      </c>
      <c r="J246" s="36" t="s">
        <v>961</v>
      </c>
      <c r="K246" s="4"/>
      <c r="L246" s="4"/>
      <c r="M246" s="4"/>
      <c r="N246" s="4"/>
      <c r="O246" s="4"/>
      <c r="P246" s="2" t="s">
        <v>189</v>
      </c>
      <c r="Q246" s="4"/>
      <c r="R246" s="4"/>
      <c r="S246" s="4"/>
      <c r="T246" s="4">
        <v>1</v>
      </c>
      <c r="U246" s="2">
        <v>9.3000000000000007</v>
      </c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2:31" x14ac:dyDescent="0.25">
      <c r="B247" s="5">
        <v>250</v>
      </c>
      <c r="C247" s="5">
        <v>27</v>
      </c>
      <c r="D247" s="5">
        <v>2</v>
      </c>
      <c r="E247" s="5" t="s">
        <v>1072</v>
      </c>
      <c r="F247" s="4"/>
      <c r="G247" s="36" t="s">
        <v>1180</v>
      </c>
      <c r="H247" s="36" t="s">
        <v>1285</v>
      </c>
      <c r="I247" s="36" t="s">
        <v>1395</v>
      </c>
      <c r="J247" s="36" t="s">
        <v>1460</v>
      </c>
      <c r="K247" s="4"/>
      <c r="L247" s="4"/>
      <c r="M247" s="4"/>
      <c r="N247" s="4"/>
      <c r="O247" s="4"/>
      <c r="P247" s="2" t="s">
        <v>183</v>
      </c>
      <c r="Q247" s="4"/>
      <c r="R247" s="4"/>
      <c r="S247" s="4"/>
      <c r="T247" s="4">
        <v>1</v>
      </c>
      <c r="U247" s="2">
        <v>9.3000000000000007</v>
      </c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2:31" x14ac:dyDescent="0.25">
      <c r="B248" s="5">
        <v>251</v>
      </c>
      <c r="C248" s="5">
        <v>27</v>
      </c>
      <c r="D248" s="5">
        <v>2</v>
      </c>
      <c r="E248" s="5" t="s">
        <v>1073</v>
      </c>
      <c r="F248" s="4"/>
      <c r="G248" s="36" t="s">
        <v>1181</v>
      </c>
      <c r="H248" s="36" t="s">
        <v>1286</v>
      </c>
      <c r="I248" s="36" t="s">
        <v>1396</v>
      </c>
      <c r="J248" s="36" t="s">
        <v>961</v>
      </c>
      <c r="K248" s="4"/>
      <c r="L248" s="4"/>
      <c r="M248" s="4"/>
      <c r="N248" s="4"/>
      <c r="O248" s="4"/>
      <c r="P248" s="2" t="s">
        <v>207</v>
      </c>
      <c r="Q248" s="4"/>
      <c r="R248" s="4"/>
      <c r="S248" s="4"/>
      <c r="T248" s="4">
        <v>1</v>
      </c>
      <c r="U248" s="2">
        <v>10.1</v>
      </c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2:31" x14ac:dyDescent="0.25">
      <c r="B249" s="5">
        <v>252</v>
      </c>
      <c r="C249" s="5">
        <v>27</v>
      </c>
      <c r="D249" s="5">
        <v>2</v>
      </c>
      <c r="E249" s="5" t="s">
        <v>1074</v>
      </c>
      <c r="F249" s="4"/>
      <c r="G249" s="36" t="s">
        <v>1182</v>
      </c>
      <c r="H249" s="36" t="s">
        <v>1288</v>
      </c>
      <c r="I249" s="36" t="s">
        <v>1397</v>
      </c>
      <c r="J249" s="36" t="s">
        <v>961</v>
      </c>
      <c r="K249" s="4"/>
      <c r="L249" s="4"/>
      <c r="M249" s="4"/>
      <c r="N249" s="4"/>
      <c r="O249" s="4"/>
      <c r="P249" s="2" t="s">
        <v>189</v>
      </c>
      <c r="Q249" s="4"/>
      <c r="R249" s="4"/>
      <c r="S249" s="4"/>
      <c r="T249" s="4">
        <v>1</v>
      </c>
      <c r="U249" s="2">
        <v>10.1</v>
      </c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2:31" x14ac:dyDescent="0.25">
      <c r="B250" s="5">
        <v>253</v>
      </c>
      <c r="C250" s="5">
        <v>27</v>
      </c>
      <c r="D250" s="5">
        <v>2</v>
      </c>
      <c r="E250" s="5" t="s">
        <v>1075</v>
      </c>
      <c r="F250" s="4"/>
      <c r="G250" s="36" t="s">
        <v>1182</v>
      </c>
      <c r="H250" s="36" t="s">
        <v>1288</v>
      </c>
      <c r="I250" s="36" t="s">
        <v>1397</v>
      </c>
      <c r="J250" s="36" t="s">
        <v>961</v>
      </c>
      <c r="K250" s="4"/>
      <c r="L250" s="4"/>
      <c r="M250" s="4"/>
      <c r="N250" s="4"/>
      <c r="O250" s="4"/>
      <c r="P250" s="2" t="s">
        <v>183</v>
      </c>
      <c r="Q250" s="4"/>
      <c r="R250" s="4"/>
      <c r="S250" s="4"/>
      <c r="T250" s="4">
        <v>1</v>
      </c>
      <c r="U250" s="2">
        <v>10.1</v>
      </c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2:31" x14ac:dyDescent="0.25">
      <c r="B251" s="5">
        <v>254</v>
      </c>
      <c r="C251" s="5">
        <v>27</v>
      </c>
      <c r="D251" s="5">
        <v>2</v>
      </c>
      <c r="E251" s="5" t="s">
        <v>1076</v>
      </c>
      <c r="F251" s="4"/>
      <c r="G251" s="36" t="s">
        <v>1183</v>
      </c>
      <c r="H251" s="36" t="s">
        <v>1289</v>
      </c>
      <c r="I251" s="36" t="s">
        <v>1399</v>
      </c>
      <c r="J251" s="36" t="s">
        <v>1461</v>
      </c>
      <c r="K251" s="4"/>
      <c r="L251" s="4"/>
      <c r="M251" s="4"/>
      <c r="N251" s="4"/>
      <c r="O251" s="4"/>
      <c r="P251" s="2" t="s">
        <v>255</v>
      </c>
      <c r="Q251" s="4"/>
      <c r="R251" s="4"/>
      <c r="S251" s="4"/>
      <c r="T251" s="4">
        <v>1</v>
      </c>
      <c r="U251" s="2">
        <v>10.199999999999999</v>
      </c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2:31" x14ac:dyDescent="0.25">
      <c r="B252" s="5">
        <v>255</v>
      </c>
      <c r="C252" s="5">
        <v>27</v>
      </c>
      <c r="D252" s="5">
        <v>2</v>
      </c>
      <c r="E252" s="5" t="s">
        <v>1077</v>
      </c>
      <c r="F252" s="4"/>
      <c r="G252" s="36" t="s">
        <v>1484</v>
      </c>
      <c r="H252" s="36" t="s">
        <v>1290</v>
      </c>
      <c r="I252" s="36" t="s">
        <v>1400</v>
      </c>
      <c r="J252" s="36" t="s">
        <v>1462</v>
      </c>
      <c r="K252" s="4"/>
      <c r="L252" s="4"/>
      <c r="M252" s="4"/>
      <c r="N252" s="4"/>
      <c r="O252" s="4"/>
      <c r="P252" s="2" t="s">
        <v>207</v>
      </c>
      <c r="Q252" s="4"/>
      <c r="R252" s="4"/>
      <c r="S252" s="4"/>
      <c r="T252" s="4">
        <v>1</v>
      </c>
      <c r="U252" s="2">
        <v>10.199999999999999</v>
      </c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2:31" x14ac:dyDescent="0.25">
      <c r="B253" s="5">
        <v>256</v>
      </c>
      <c r="C253" s="5">
        <v>27</v>
      </c>
      <c r="D253" s="5">
        <v>2</v>
      </c>
      <c r="E253" s="5" t="s">
        <v>1078</v>
      </c>
      <c r="F253" s="4"/>
      <c r="G253" s="36" t="s">
        <v>1183</v>
      </c>
      <c r="H253" s="36" t="s">
        <v>1289</v>
      </c>
      <c r="I253" s="36" t="s">
        <v>1399</v>
      </c>
      <c r="J253" s="36" t="s">
        <v>1461</v>
      </c>
      <c r="K253" s="4"/>
      <c r="L253" s="4"/>
      <c r="M253" s="4"/>
      <c r="N253" s="4"/>
      <c r="O253" s="4"/>
      <c r="P253" s="2" t="s">
        <v>207</v>
      </c>
      <c r="Q253" s="4"/>
      <c r="R253" s="4"/>
      <c r="S253" s="4"/>
      <c r="T253" s="4">
        <v>1</v>
      </c>
      <c r="U253" s="2">
        <v>10.199999999999999</v>
      </c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2:31" x14ac:dyDescent="0.25">
      <c r="B254" s="5">
        <v>257</v>
      </c>
      <c r="C254" s="5">
        <v>27</v>
      </c>
      <c r="D254" s="5">
        <v>2</v>
      </c>
      <c r="E254" s="5" t="s">
        <v>1079</v>
      </c>
      <c r="F254" s="4"/>
      <c r="G254" s="36" t="s">
        <v>1186</v>
      </c>
      <c r="H254" s="36" t="s">
        <v>1244</v>
      </c>
      <c r="I254" s="36" t="s">
        <v>1401</v>
      </c>
      <c r="J254" s="36" t="s">
        <v>1408</v>
      </c>
      <c r="K254" s="4"/>
      <c r="L254" s="4"/>
      <c r="M254" s="4"/>
      <c r="N254" s="4"/>
      <c r="O254" s="4"/>
      <c r="P254" s="2" t="s">
        <v>255</v>
      </c>
      <c r="Q254" s="4"/>
      <c r="R254" s="4"/>
      <c r="S254" s="4"/>
      <c r="T254" s="4">
        <v>1</v>
      </c>
      <c r="U254" s="2">
        <v>10.3</v>
      </c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2:31" x14ac:dyDescent="0.25">
      <c r="B255" s="5">
        <v>258</v>
      </c>
      <c r="C255" s="5">
        <v>27</v>
      </c>
      <c r="D255" s="5">
        <v>2</v>
      </c>
      <c r="E255" s="5" t="s">
        <v>1080</v>
      </c>
      <c r="F255" s="4"/>
      <c r="G255" s="36" t="s">
        <v>1187</v>
      </c>
      <c r="H255" s="36" t="s">
        <v>1292</v>
      </c>
      <c r="I255" s="36" t="s">
        <v>1402</v>
      </c>
      <c r="J255" s="36" t="s">
        <v>961</v>
      </c>
      <c r="K255" s="4"/>
      <c r="L255" s="4"/>
      <c r="M255" s="4"/>
      <c r="N255" s="4"/>
      <c r="O255" s="4"/>
      <c r="P255" s="2" t="s">
        <v>183</v>
      </c>
      <c r="Q255" s="4"/>
      <c r="R255" s="4"/>
      <c r="S255" s="4"/>
      <c r="T255" s="4">
        <v>1</v>
      </c>
      <c r="U255" s="2">
        <v>10.3</v>
      </c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2:31" x14ac:dyDescent="0.25">
      <c r="B256" s="5">
        <v>259</v>
      </c>
      <c r="C256" s="5">
        <v>27</v>
      </c>
      <c r="D256" s="5">
        <v>2</v>
      </c>
      <c r="E256" s="5" t="s">
        <v>1081</v>
      </c>
      <c r="F256" s="4"/>
      <c r="G256" s="36" t="s">
        <v>1188</v>
      </c>
      <c r="H256" s="36" t="s">
        <v>1293</v>
      </c>
      <c r="I256" s="36" t="s">
        <v>1403</v>
      </c>
      <c r="J256" s="36" t="s">
        <v>1408</v>
      </c>
      <c r="K256" s="4"/>
      <c r="L256" s="4"/>
      <c r="M256" s="4"/>
      <c r="N256" s="4"/>
      <c r="O256" s="4"/>
      <c r="P256" s="2" t="s">
        <v>255</v>
      </c>
      <c r="Q256" s="4"/>
      <c r="R256" s="4"/>
      <c r="S256" s="4"/>
      <c r="T256" s="4">
        <v>1</v>
      </c>
      <c r="U256" s="2">
        <v>10.3</v>
      </c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2:31" x14ac:dyDescent="0.25">
      <c r="B257" s="4"/>
      <c r="C257" s="4"/>
      <c r="D257" s="4"/>
      <c r="E257" s="4"/>
      <c r="F257" s="4"/>
      <c r="G257" s="35"/>
      <c r="H257" s="35"/>
      <c r="I257" s="35"/>
      <c r="J257" s="3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2:31" x14ac:dyDescent="0.25">
      <c r="B258" s="4"/>
      <c r="C258" s="4"/>
      <c r="D258" s="4"/>
      <c r="E258" s="4"/>
      <c r="F258" s="4"/>
      <c r="G258" s="35"/>
      <c r="H258" s="35"/>
      <c r="I258" s="35"/>
      <c r="J258" s="3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2:31" x14ac:dyDescent="0.25">
      <c r="B259" s="4"/>
      <c r="C259" s="4"/>
      <c r="D259" s="4"/>
      <c r="E259" s="4"/>
      <c r="F259" s="4"/>
      <c r="G259" s="35"/>
      <c r="H259" s="35"/>
      <c r="I259" s="35"/>
      <c r="J259" s="3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2:31" x14ac:dyDescent="0.25">
      <c r="B260" s="4"/>
      <c r="C260" s="4"/>
      <c r="D260" s="4"/>
      <c r="E260" s="4"/>
      <c r="F260" s="4"/>
      <c r="G260" s="35"/>
      <c r="H260" s="35"/>
      <c r="I260" s="35"/>
      <c r="J260" s="3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2:31" x14ac:dyDescent="0.25">
      <c r="B261" s="4"/>
      <c r="C261" s="4"/>
      <c r="D261" s="4"/>
      <c r="E261" s="4"/>
      <c r="F261" s="4"/>
      <c r="G261" s="35"/>
      <c r="H261" s="35"/>
      <c r="I261" s="35"/>
      <c r="J261" s="3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2:31" x14ac:dyDescent="0.25">
      <c r="B262" s="4"/>
      <c r="C262" s="4"/>
      <c r="D262" s="4"/>
      <c r="E262" s="4"/>
      <c r="F262" s="4"/>
      <c r="G262" s="35"/>
      <c r="H262" s="35"/>
      <c r="I262" s="35"/>
      <c r="J262" s="3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2:31" x14ac:dyDescent="0.25">
      <c r="B263" s="4"/>
      <c r="C263" s="4"/>
      <c r="D263" s="4"/>
      <c r="E263" s="4"/>
      <c r="F263" s="4"/>
      <c r="G263" s="35"/>
      <c r="H263" s="35"/>
      <c r="I263" s="35"/>
      <c r="J263" s="3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2:31" x14ac:dyDescent="0.25">
      <c r="B264" s="4"/>
      <c r="C264" s="4"/>
      <c r="D264" s="4"/>
      <c r="E264" s="4"/>
      <c r="F264" s="4"/>
      <c r="G264" s="35"/>
      <c r="H264" s="35"/>
      <c r="I264" s="35"/>
      <c r="J264" s="3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2:31" x14ac:dyDescent="0.25">
      <c r="B265" s="4"/>
      <c r="C265" s="4"/>
      <c r="D265" s="4"/>
      <c r="E265" s="4"/>
      <c r="F265" s="4"/>
      <c r="G265" s="35"/>
      <c r="H265" s="35"/>
      <c r="I265" s="35"/>
      <c r="J265" s="3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2:31" x14ac:dyDescent="0.25">
      <c r="B266" s="4"/>
      <c r="C266" s="4"/>
      <c r="D266" s="4"/>
      <c r="E266" s="4"/>
      <c r="F266" s="4"/>
      <c r="G266" s="35"/>
      <c r="H266" s="35"/>
      <c r="I266" s="35"/>
      <c r="J266" s="3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2:31" x14ac:dyDescent="0.25">
      <c r="B267" s="4"/>
      <c r="C267" s="4"/>
      <c r="D267" s="4"/>
      <c r="E267" s="4"/>
      <c r="F267" s="4"/>
      <c r="G267" s="35"/>
      <c r="H267" s="35"/>
      <c r="I267" s="35"/>
      <c r="J267" s="3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2:31" x14ac:dyDescent="0.25">
      <c r="B268" s="4"/>
      <c r="C268" s="4"/>
      <c r="D268" s="4"/>
      <c r="E268" s="4"/>
      <c r="F268" s="4"/>
      <c r="G268" s="35"/>
      <c r="H268" s="35"/>
      <c r="I268" s="35"/>
      <c r="J268" s="3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2:31" x14ac:dyDescent="0.25">
      <c r="B269" s="4"/>
      <c r="C269" s="4"/>
      <c r="D269" s="4"/>
      <c r="E269" s="4"/>
      <c r="F269" s="4"/>
      <c r="G269" s="35"/>
      <c r="H269" s="35"/>
      <c r="I269" s="35"/>
      <c r="J269" s="3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2:31" x14ac:dyDescent="0.25">
      <c r="B270" s="4"/>
      <c r="C270" s="4"/>
      <c r="D270" s="4"/>
      <c r="E270" s="4"/>
      <c r="F270" s="4"/>
      <c r="G270" s="35"/>
      <c r="H270" s="35"/>
      <c r="I270" s="35"/>
      <c r="J270" s="3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2:31" x14ac:dyDescent="0.25">
      <c r="B271" s="4"/>
      <c r="C271" s="4"/>
      <c r="D271" s="4"/>
      <c r="E271" s="4"/>
      <c r="F271" s="4"/>
      <c r="G271" s="35"/>
      <c r="H271" s="35"/>
      <c r="I271" s="35"/>
      <c r="J271" s="3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2:31" x14ac:dyDescent="0.25">
      <c r="B272" s="4"/>
      <c r="C272" s="4"/>
      <c r="D272" s="4"/>
      <c r="E272" s="4"/>
      <c r="F272" s="4"/>
      <c r="G272" s="35"/>
      <c r="H272" s="35"/>
      <c r="I272" s="35"/>
      <c r="J272" s="3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2:31" x14ac:dyDescent="0.25">
      <c r="B273" s="4"/>
      <c r="C273" s="4"/>
      <c r="D273" s="4"/>
      <c r="E273" s="4"/>
      <c r="F273" s="4"/>
      <c r="G273" s="35"/>
      <c r="H273" s="35"/>
      <c r="I273" s="35"/>
      <c r="J273" s="3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2:31" x14ac:dyDescent="0.25">
      <c r="B274" s="4"/>
      <c r="C274" s="4"/>
      <c r="D274" s="4"/>
      <c r="E274" s="4"/>
      <c r="F274" s="4"/>
      <c r="G274" s="35"/>
      <c r="H274" s="35"/>
      <c r="I274" s="35"/>
      <c r="J274" s="3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2:31" x14ac:dyDescent="0.25">
      <c r="B275" s="4"/>
      <c r="C275" s="4"/>
      <c r="D275" s="4"/>
      <c r="E275" s="4"/>
      <c r="F275" s="4"/>
      <c r="G275" s="35"/>
      <c r="H275" s="35"/>
      <c r="I275" s="35"/>
      <c r="J275" s="3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2:31" x14ac:dyDescent="0.25">
      <c r="B276" s="4"/>
      <c r="C276" s="4"/>
      <c r="D276" s="4"/>
      <c r="E276" s="4"/>
      <c r="F276" s="4"/>
      <c r="G276" s="35"/>
      <c r="H276" s="35"/>
      <c r="I276" s="35"/>
      <c r="J276" s="3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2:31" x14ac:dyDescent="0.25">
      <c r="B277" s="4"/>
      <c r="C277" s="4"/>
      <c r="D277" s="4"/>
      <c r="E277" s="4"/>
      <c r="F277" s="4"/>
      <c r="G277" s="35"/>
      <c r="H277" s="35"/>
      <c r="I277" s="35"/>
      <c r="J277" s="3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2:31" x14ac:dyDescent="0.25">
      <c r="B278" s="4"/>
      <c r="C278" s="4"/>
      <c r="D278" s="4"/>
      <c r="E278" s="4"/>
      <c r="F278" s="4"/>
      <c r="G278" s="35"/>
      <c r="H278" s="35"/>
      <c r="I278" s="35"/>
      <c r="J278" s="3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2:31" x14ac:dyDescent="0.25">
      <c r="B279" s="4"/>
      <c r="C279" s="4"/>
      <c r="D279" s="4"/>
      <c r="E279" s="4"/>
      <c r="F279" s="4"/>
      <c r="G279" s="35"/>
      <c r="H279" s="35"/>
      <c r="I279" s="35"/>
      <c r="J279" s="3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2:31" x14ac:dyDescent="0.25">
      <c r="B280" s="4"/>
      <c r="C280" s="4"/>
      <c r="D280" s="4"/>
      <c r="E280" s="4"/>
      <c r="F280" s="4"/>
      <c r="G280" s="35"/>
      <c r="H280" s="35"/>
      <c r="I280" s="35"/>
      <c r="J280" s="3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2:31" x14ac:dyDescent="0.25">
      <c r="B281" s="4"/>
      <c r="C281" s="4"/>
      <c r="D281" s="4"/>
      <c r="E281" s="4"/>
      <c r="F281" s="4"/>
      <c r="G281" s="35"/>
      <c r="H281" s="35"/>
      <c r="I281" s="35"/>
      <c r="J281" s="3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2:31" x14ac:dyDescent="0.25">
      <c r="B282" s="4"/>
      <c r="C282" s="4"/>
      <c r="D282" s="4"/>
      <c r="E282" s="4"/>
      <c r="F282" s="4"/>
      <c r="G282" s="35"/>
      <c r="H282" s="35"/>
      <c r="I282" s="35"/>
      <c r="J282" s="3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2:31" x14ac:dyDescent="0.25">
      <c r="B283" s="4"/>
      <c r="C283" s="4"/>
      <c r="D283" s="4"/>
      <c r="E283" s="4"/>
      <c r="F283" s="4"/>
      <c r="G283" s="35"/>
      <c r="H283" s="35"/>
      <c r="I283" s="35"/>
      <c r="J283" s="3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2:31" x14ac:dyDescent="0.25">
      <c r="B284" s="4"/>
      <c r="C284" s="4"/>
      <c r="D284" s="4"/>
      <c r="E284" s="4"/>
      <c r="F284" s="4"/>
      <c r="G284" s="35"/>
      <c r="H284" s="35"/>
      <c r="I284" s="35"/>
      <c r="J284" s="3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2:31" x14ac:dyDescent="0.25">
      <c r="B285" s="4"/>
      <c r="C285" s="4"/>
      <c r="D285" s="4"/>
      <c r="E285" s="4"/>
      <c r="F285" s="4"/>
      <c r="G285" s="35"/>
      <c r="H285" s="35"/>
      <c r="I285" s="35"/>
      <c r="J285" s="3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2:31" x14ac:dyDescent="0.25">
      <c r="B286" s="4"/>
      <c r="C286" s="4"/>
      <c r="D286" s="4"/>
      <c r="E286" s="4"/>
      <c r="F286" s="4"/>
      <c r="G286" s="35"/>
      <c r="H286" s="35"/>
      <c r="I286" s="35"/>
      <c r="J286" s="3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2:31" x14ac:dyDescent="0.25">
      <c r="B287" s="4"/>
      <c r="C287" s="4"/>
      <c r="D287" s="4"/>
      <c r="E287" s="4"/>
      <c r="F287" s="4"/>
      <c r="G287" s="35"/>
      <c r="H287" s="35"/>
      <c r="I287" s="35"/>
      <c r="J287" s="3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2:31" x14ac:dyDescent="0.25">
      <c r="B288" s="4"/>
      <c r="C288" s="4"/>
      <c r="D288" s="4"/>
      <c r="E288" s="4"/>
      <c r="F288" s="4"/>
      <c r="G288" s="35"/>
      <c r="H288" s="35"/>
      <c r="I288" s="35"/>
      <c r="J288" s="3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2:31" x14ac:dyDescent="0.25">
      <c r="B289" s="4"/>
      <c r="C289" s="4"/>
      <c r="D289" s="4"/>
      <c r="E289" s="4"/>
      <c r="F289" s="4"/>
      <c r="G289" s="35"/>
      <c r="H289" s="35"/>
      <c r="I289" s="35"/>
      <c r="J289" s="3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2:31" x14ac:dyDescent="0.25">
      <c r="B290" s="4"/>
      <c r="C290" s="4"/>
      <c r="D290" s="4"/>
      <c r="E290" s="4"/>
      <c r="F290" s="4"/>
      <c r="G290" s="35"/>
      <c r="H290" s="35"/>
      <c r="I290" s="35"/>
      <c r="J290" s="3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2:31" x14ac:dyDescent="0.25">
      <c r="B291" s="4"/>
      <c r="C291" s="4"/>
      <c r="D291" s="4"/>
      <c r="E291" s="4"/>
      <c r="F291" s="4"/>
      <c r="G291" s="35"/>
      <c r="H291" s="35"/>
      <c r="I291" s="35"/>
      <c r="J291" s="3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2:31" x14ac:dyDescent="0.25">
      <c r="B292" s="4"/>
      <c r="C292" s="4"/>
      <c r="D292" s="4"/>
      <c r="E292" s="4"/>
      <c r="F292" s="4"/>
      <c r="G292" s="35"/>
      <c r="H292" s="35"/>
      <c r="I292" s="35"/>
      <c r="J292" s="3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2:31" x14ac:dyDescent="0.25">
      <c r="B293" s="4"/>
      <c r="C293" s="4"/>
      <c r="D293" s="4"/>
      <c r="E293" s="4"/>
      <c r="F293" s="4"/>
      <c r="G293" s="35"/>
      <c r="H293" s="35"/>
      <c r="I293" s="35"/>
      <c r="J293" s="3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2:31" x14ac:dyDescent="0.25">
      <c r="B294" s="4"/>
      <c r="C294" s="4"/>
      <c r="D294" s="4"/>
      <c r="E294" s="4"/>
      <c r="F294" s="4"/>
      <c r="G294" s="35"/>
      <c r="H294" s="35"/>
      <c r="I294" s="35"/>
      <c r="J294" s="3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2:31" x14ac:dyDescent="0.25">
      <c r="B295" s="4"/>
      <c r="C295" s="4"/>
      <c r="D295" s="4"/>
      <c r="E295" s="4"/>
      <c r="F295" s="4"/>
      <c r="G295" s="35"/>
      <c r="H295" s="35"/>
      <c r="I295" s="35"/>
      <c r="J295" s="3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2:31" x14ac:dyDescent="0.25">
      <c r="B296" s="4"/>
      <c r="C296" s="4"/>
      <c r="D296" s="4"/>
      <c r="E296" s="4"/>
      <c r="F296" s="4"/>
      <c r="G296" s="35"/>
      <c r="H296" s="35"/>
      <c r="I296" s="35"/>
      <c r="J296" s="3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2:31" x14ac:dyDescent="0.25">
      <c r="B297" s="4"/>
      <c r="C297" s="4"/>
      <c r="D297" s="4"/>
      <c r="E297" s="4"/>
      <c r="F297" s="4"/>
      <c r="G297" s="35"/>
      <c r="H297" s="35"/>
      <c r="I297" s="35"/>
      <c r="J297" s="3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2:31" x14ac:dyDescent="0.25">
      <c r="B298" s="4"/>
      <c r="C298" s="4"/>
      <c r="D298" s="4"/>
      <c r="E298" s="4"/>
      <c r="F298" s="4"/>
      <c r="G298" s="35"/>
      <c r="H298" s="35"/>
      <c r="I298" s="35"/>
      <c r="J298" s="3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2:31" x14ac:dyDescent="0.25">
      <c r="B299" s="4"/>
      <c r="C299" s="4"/>
      <c r="D299" s="4"/>
      <c r="E299" s="4"/>
      <c r="F299" s="4"/>
      <c r="G299" s="35"/>
      <c r="H299" s="35"/>
      <c r="I299" s="35"/>
      <c r="J299" s="3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2:31" x14ac:dyDescent="0.25">
      <c r="B300" s="4"/>
      <c r="C300" s="4"/>
      <c r="D300" s="4"/>
      <c r="E300" s="4"/>
      <c r="F300" s="4"/>
      <c r="G300" s="35"/>
      <c r="H300" s="35"/>
      <c r="I300" s="35"/>
      <c r="J300" s="3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2:31" x14ac:dyDescent="0.25">
      <c r="B301" s="4"/>
      <c r="C301" s="4"/>
      <c r="D301" s="4"/>
      <c r="E301" s="4"/>
      <c r="F301" s="4"/>
      <c r="G301" s="35"/>
      <c r="H301" s="35"/>
      <c r="I301" s="35"/>
      <c r="J301" s="3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2:31" x14ac:dyDescent="0.25">
      <c r="B302" s="4"/>
      <c r="C302" s="4"/>
      <c r="D302" s="4"/>
      <c r="E302" s="4"/>
      <c r="F302" s="4"/>
      <c r="G302" s="35"/>
      <c r="H302" s="35"/>
      <c r="I302" s="35"/>
      <c r="J302" s="3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2:31" x14ac:dyDescent="0.25">
      <c r="B303" s="4"/>
      <c r="C303" s="4"/>
      <c r="D303" s="4"/>
      <c r="E303" s="4"/>
      <c r="F303" s="4"/>
      <c r="G303" s="35"/>
      <c r="H303" s="35"/>
      <c r="I303" s="35"/>
      <c r="J303" s="3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2:31" x14ac:dyDescent="0.25">
      <c r="B304" s="4"/>
      <c r="C304" s="4"/>
      <c r="D304" s="4"/>
      <c r="E304" s="4"/>
      <c r="F304" s="4"/>
      <c r="G304" s="35"/>
      <c r="H304" s="35"/>
      <c r="I304" s="35"/>
      <c r="J304" s="3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2:31" x14ac:dyDescent="0.25">
      <c r="B305" s="4"/>
      <c r="C305" s="4"/>
      <c r="D305" s="4"/>
      <c r="E305" s="4"/>
      <c r="F305" s="4"/>
      <c r="G305" s="35"/>
      <c r="H305" s="35"/>
      <c r="I305" s="35"/>
      <c r="J305" s="3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2:31" x14ac:dyDescent="0.25">
      <c r="B306" s="4"/>
      <c r="C306" s="4"/>
      <c r="D306" s="4"/>
      <c r="E306" s="4"/>
      <c r="F306" s="4"/>
      <c r="G306" s="35"/>
      <c r="H306" s="35"/>
      <c r="I306" s="35"/>
      <c r="J306" s="3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2:31" x14ac:dyDescent="0.25">
      <c r="B307" s="4"/>
      <c r="C307" s="4"/>
      <c r="D307" s="4"/>
      <c r="E307" s="4"/>
      <c r="F307" s="4"/>
      <c r="G307" s="35"/>
      <c r="H307" s="35"/>
      <c r="I307" s="35"/>
      <c r="J307" s="3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2:31" x14ac:dyDescent="0.25">
      <c r="B308" s="4"/>
      <c r="C308" s="4"/>
      <c r="D308" s="4"/>
      <c r="E308" s="4"/>
      <c r="F308" s="4"/>
      <c r="G308" s="35"/>
      <c r="H308" s="35"/>
      <c r="I308" s="35"/>
      <c r="J308" s="3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2:31" x14ac:dyDescent="0.25">
      <c r="B309" s="4"/>
      <c r="C309" s="4"/>
      <c r="D309" s="4"/>
      <c r="E309" s="4"/>
      <c r="F309" s="4"/>
      <c r="G309" s="35"/>
      <c r="H309" s="35"/>
      <c r="I309" s="35"/>
      <c r="J309" s="3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2:31" x14ac:dyDescent="0.25">
      <c r="B310" s="4"/>
      <c r="C310" s="4"/>
      <c r="D310" s="4"/>
      <c r="E310" s="4"/>
      <c r="F310" s="4"/>
      <c r="G310" s="35"/>
      <c r="H310" s="35"/>
      <c r="I310" s="35"/>
      <c r="J310" s="3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2:31" x14ac:dyDescent="0.25">
      <c r="B311" s="4"/>
      <c r="C311" s="4"/>
      <c r="D311" s="4"/>
      <c r="E311" s="4"/>
      <c r="F311" s="4"/>
      <c r="G311" s="35"/>
      <c r="H311" s="35"/>
      <c r="I311" s="35"/>
      <c r="J311" s="35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2:31" x14ac:dyDescent="0.25">
      <c r="B312" s="4"/>
      <c r="C312" s="4"/>
      <c r="D312" s="4"/>
      <c r="E312" s="4"/>
      <c r="F312" s="4"/>
      <c r="G312" s="35"/>
      <c r="H312" s="35"/>
      <c r="I312" s="35"/>
      <c r="J312" s="35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2:31" x14ac:dyDescent="0.25">
      <c r="B313" s="4"/>
      <c r="C313" s="4"/>
      <c r="D313" s="4"/>
      <c r="E313" s="4"/>
      <c r="F313" s="4"/>
      <c r="G313" s="35"/>
      <c r="H313" s="35"/>
      <c r="I313" s="35"/>
      <c r="J313" s="35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2:31" x14ac:dyDescent="0.25">
      <c r="B314" s="4"/>
      <c r="C314" s="4"/>
      <c r="D314" s="4"/>
      <c r="E314" s="4"/>
      <c r="F314" s="4"/>
      <c r="G314" s="35"/>
      <c r="H314" s="35"/>
      <c r="I314" s="35"/>
      <c r="J314" s="3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2:31" x14ac:dyDescent="0.25">
      <c r="B315" s="4"/>
      <c r="C315" s="4"/>
      <c r="D315" s="4"/>
      <c r="E315" s="4"/>
      <c r="F315" s="4"/>
      <c r="G315" s="35"/>
      <c r="H315" s="35"/>
      <c r="I315" s="35"/>
      <c r="J315" s="35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2:31" x14ac:dyDescent="0.25">
      <c r="B316" s="4"/>
      <c r="C316" s="4"/>
      <c r="D316" s="4"/>
      <c r="E316" s="4"/>
      <c r="F316" s="4"/>
      <c r="G316" s="35"/>
      <c r="H316" s="35"/>
      <c r="I316" s="35"/>
      <c r="J316" s="35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2:31" x14ac:dyDescent="0.25">
      <c r="B317" s="4"/>
      <c r="C317" s="4"/>
      <c r="D317" s="4"/>
      <c r="E317" s="4"/>
      <c r="F317" s="4"/>
      <c r="G317" s="35"/>
      <c r="H317" s="35"/>
      <c r="I317" s="35"/>
      <c r="J317" s="35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2:31" x14ac:dyDescent="0.25">
      <c r="B318" s="4"/>
      <c r="C318" s="4"/>
      <c r="D318" s="4"/>
      <c r="E318" s="4"/>
      <c r="F318" s="4"/>
      <c r="G318" s="35"/>
      <c r="H318" s="35"/>
      <c r="I318" s="35"/>
      <c r="J318" s="35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2:31" x14ac:dyDescent="0.25">
      <c r="B319" s="4"/>
      <c r="C319" s="4"/>
      <c r="D319" s="4"/>
      <c r="E319" s="4"/>
      <c r="F319" s="4"/>
      <c r="G319" s="35"/>
      <c r="H319" s="35"/>
      <c r="I319" s="35"/>
      <c r="J319" s="35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2:31" x14ac:dyDescent="0.25">
      <c r="B320" s="4"/>
      <c r="C320" s="4"/>
      <c r="D320" s="4"/>
      <c r="E320" s="4"/>
      <c r="F320" s="4"/>
      <c r="G320" s="35"/>
      <c r="H320" s="35"/>
      <c r="I320" s="35"/>
      <c r="J320" s="35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2:31" x14ac:dyDescent="0.25">
      <c r="B321" s="4"/>
      <c r="C321" s="4"/>
      <c r="D321" s="4"/>
      <c r="E321" s="4"/>
      <c r="F321" s="4"/>
      <c r="G321" s="35"/>
      <c r="H321" s="35"/>
      <c r="I321" s="35"/>
      <c r="J321" s="35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2:31" x14ac:dyDescent="0.25">
      <c r="B322" s="4"/>
      <c r="C322" s="4"/>
      <c r="D322" s="4"/>
      <c r="E322" s="4"/>
      <c r="F322" s="4"/>
      <c r="G322" s="35"/>
      <c r="H322" s="35"/>
      <c r="I322" s="35"/>
      <c r="J322" s="35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2:31" x14ac:dyDescent="0.25">
      <c r="B323" s="4"/>
      <c r="C323" s="4"/>
      <c r="D323" s="4"/>
      <c r="E323" s="4"/>
      <c r="F323" s="4"/>
      <c r="G323" s="35"/>
      <c r="H323" s="35"/>
      <c r="I323" s="35"/>
      <c r="J323" s="35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2:31" x14ac:dyDescent="0.25">
      <c r="B324" s="4"/>
      <c r="C324" s="4"/>
      <c r="D324" s="4"/>
      <c r="E324" s="4"/>
      <c r="F324" s="4"/>
      <c r="G324" s="35"/>
      <c r="H324" s="35"/>
      <c r="I324" s="35"/>
      <c r="J324" s="35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2:31" x14ac:dyDescent="0.25">
      <c r="B325" s="4"/>
      <c r="C325" s="4"/>
      <c r="D325" s="4"/>
      <c r="E325" s="4"/>
      <c r="F325" s="4"/>
      <c r="G325" s="35"/>
      <c r="H325" s="35"/>
      <c r="I325" s="35"/>
      <c r="J325" s="35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2:31" x14ac:dyDescent="0.25">
      <c r="B326" s="4"/>
      <c r="C326" s="4"/>
      <c r="D326" s="4"/>
      <c r="E326" s="4"/>
      <c r="F326" s="4"/>
      <c r="G326" s="35"/>
      <c r="H326" s="35"/>
      <c r="I326" s="35"/>
      <c r="J326" s="35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2:31" x14ac:dyDescent="0.25">
      <c r="B327" s="4"/>
      <c r="C327" s="4"/>
      <c r="D327" s="4"/>
      <c r="E327" s="4"/>
      <c r="F327" s="4"/>
      <c r="G327" s="35"/>
      <c r="H327" s="35"/>
      <c r="I327" s="35"/>
      <c r="J327" s="35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2:31" x14ac:dyDescent="0.25">
      <c r="B328" s="4"/>
      <c r="C328" s="4"/>
      <c r="D328" s="4"/>
      <c r="E328" s="4"/>
      <c r="F328" s="4"/>
      <c r="G328" s="35"/>
      <c r="H328" s="35"/>
      <c r="I328" s="35"/>
      <c r="J328" s="35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2:31" x14ac:dyDescent="0.25">
      <c r="B329" s="4"/>
      <c r="C329" s="4"/>
      <c r="D329" s="4"/>
      <c r="E329" s="4"/>
      <c r="F329" s="4"/>
      <c r="G329" s="35"/>
      <c r="H329" s="35"/>
      <c r="I329" s="35"/>
      <c r="J329" s="35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2:31" x14ac:dyDescent="0.25">
      <c r="B330" s="4"/>
      <c r="C330" s="4"/>
      <c r="D330" s="4"/>
      <c r="E330" s="4"/>
      <c r="F330" s="4"/>
      <c r="G330" s="35"/>
      <c r="H330" s="35"/>
      <c r="I330" s="35"/>
      <c r="J330" s="35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2:31" x14ac:dyDescent="0.25">
      <c r="B331" s="4"/>
      <c r="C331" s="4"/>
      <c r="D331" s="4"/>
      <c r="E331" s="4"/>
      <c r="F331" s="4"/>
      <c r="G331" s="35"/>
      <c r="H331" s="35"/>
      <c r="I331" s="35"/>
      <c r="J331" s="35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2:31" x14ac:dyDescent="0.25">
      <c r="B332" s="4"/>
      <c r="C332" s="4"/>
      <c r="D332" s="4"/>
      <c r="E332" s="4"/>
      <c r="F332" s="4"/>
      <c r="G332" s="35"/>
      <c r="H332" s="35"/>
      <c r="I332" s="35"/>
      <c r="J332" s="35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2:31" x14ac:dyDescent="0.25">
      <c r="B333" s="4"/>
      <c r="C333" s="4"/>
      <c r="D333" s="4"/>
      <c r="E333" s="4"/>
      <c r="F333" s="4"/>
      <c r="G333" s="35"/>
      <c r="H333" s="35"/>
      <c r="I333" s="35"/>
      <c r="J333" s="35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2:31" x14ac:dyDescent="0.25">
      <c r="B334" s="4"/>
      <c r="C334" s="4"/>
      <c r="D334" s="4"/>
      <c r="E334" s="4"/>
      <c r="F334" s="4"/>
      <c r="G334" s="35"/>
      <c r="H334" s="35"/>
      <c r="I334" s="35"/>
      <c r="J334" s="35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2:31" x14ac:dyDescent="0.25">
      <c r="B335" s="4"/>
      <c r="C335" s="4"/>
      <c r="D335" s="4"/>
      <c r="E335" s="4"/>
      <c r="F335" s="4"/>
      <c r="G335" s="35"/>
      <c r="H335" s="35"/>
      <c r="I335" s="35"/>
      <c r="J335" s="35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2:31" x14ac:dyDescent="0.25">
      <c r="B336" s="4"/>
      <c r="C336" s="4"/>
      <c r="D336" s="4"/>
      <c r="E336" s="4"/>
      <c r="F336" s="4"/>
      <c r="G336" s="35"/>
      <c r="H336" s="35"/>
      <c r="I336" s="35"/>
      <c r="J336" s="35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2:31" x14ac:dyDescent="0.25">
      <c r="B337" s="4"/>
      <c r="C337" s="4"/>
      <c r="D337" s="4"/>
      <c r="E337" s="4"/>
      <c r="F337" s="4"/>
      <c r="G337" s="35"/>
      <c r="H337" s="35"/>
      <c r="I337" s="35"/>
      <c r="J337" s="35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2:31" x14ac:dyDescent="0.25">
      <c r="B338" s="4"/>
      <c r="C338" s="4"/>
      <c r="D338" s="4"/>
      <c r="E338" s="4"/>
      <c r="F338" s="4"/>
      <c r="G338" s="35"/>
      <c r="H338" s="35"/>
      <c r="I338" s="35"/>
      <c r="J338" s="35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2:31" x14ac:dyDescent="0.25">
      <c r="B339" s="4"/>
      <c r="C339" s="4"/>
      <c r="D339" s="4"/>
      <c r="E339" s="4"/>
      <c r="F339" s="4"/>
      <c r="G339" s="35"/>
      <c r="H339" s="35"/>
      <c r="I339" s="35"/>
      <c r="J339" s="35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2:31" x14ac:dyDescent="0.25">
      <c r="B340" s="4"/>
      <c r="C340" s="4"/>
      <c r="D340" s="4"/>
      <c r="E340" s="4"/>
      <c r="F340" s="4"/>
      <c r="G340" s="35"/>
      <c r="H340" s="35"/>
      <c r="I340" s="35"/>
      <c r="J340" s="35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2:31" x14ac:dyDescent="0.25">
      <c r="B341" s="4"/>
      <c r="C341" s="4"/>
      <c r="D341" s="4"/>
      <c r="E341" s="4"/>
      <c r="F341" s="4"/>
      <c r="G341" s="35"/>
      <c r="H341" s="35"/>
      <c r="I341" s="35"/>
      <c r="J341" s="35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2:31" x14ac:dyDescent="0.25">
      <c r="B342" s="4"/>
      <c r="C342" s="4"/>
      <c r="D342" s="4"/>
      <c r="E342" s="4"/>
      <c r="F342" s="4"/>
      <c r="G342" s="35"/>
      <c r="H342" s="35"/>
      <c r="I342" s="35"/>
      <c r="J342" s="35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2:31" x14ac:dyDescent="0.25">
      <c r="B343" s="4"/>
      <c r="C343" s="4"/>
      <c r="D343" s="4"/>
      <c r="E343" s="4"/>
      <c r="F343" s="4"/>
      <c r="G343" s="35"/>
      <c r="H343" s="35"/>
      <c r="I343" s="35"/>
      <c r="J343" s="35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2:31" x14ac:dyDescent="0.25">
      <c r="B344" s="4"/>
      <c r="C344" s="4"/>
      <c r="D344" s="4"/>
      <c r="E344" s="4"/>
      <c r="F344" s="4"/>
      <c r="G344" s="35"/>
      <c r="H344" s="35"/>
      <c r="I344" s="35"/>
      <c r="J344" s="35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2:31" x14ac:dyDescent="0.25">
      <c r="B345" s="4"/>
      <c r="C345" s="4"/>
      <c r="D345" s="4"/>
      <c r="E345" s="4"/>
      <c r="F345" s="4"/>
      <c r="G345" s="35"/>
      <c r="H345" s="35"/>
      <c r="I345" s="35"/>
      <c r="J345" s="35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2:31" x14ac:dyDescent="0.25">
      <c r="B346" s="4"/>
      <c r="C346" s="4"/>
      <c r="D346" s="4"/>
      <c r="E346" s="4"/>
      <c r="F346" s="4"/>
      <c r="G346" s="35"/>
      <c r="H346" s="35"/>
      <c r="I346" s="35"/>
      <c r="J346" s="35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2:31" x14ac:dyDescent="0.25">
      <c r="B347" s="4"/>
      <c r="C347" s="4"/>
      <c r="D347" s="4"/>
      <c r="E347" s="4"/>
      <c r="F347" s="4"/>
      <c r="G347" s="35"/>
      <c r="H347" s="35"/>
      <c r="I347" s="35"/>
      <c r="J347" s="35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2:31" x14ac:dyDescent="0.25">
      <c r="B348" s="4"/>
      <c r="C348" s="4"/>
      <c r="D348" s="4"/>
      <c r="E348" s="4"/>
      <c r="F348" s="4"/>
      <c r="G348" s="35"/>
      <c r="H348" s="35"/>
      <c r="I348" s="35"/>
      <c r="J348" s="35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2:31" x14ac:dyDescent="0.25">
      <c r="B349" s="4"/>
      <c r="C349" s="4"/>
      <c r="D349" s="4"/>
      <c r="E349" s="4"/>
      <c r="F349" s="4"/>
      <c r="G349" s="35"/>
      <c r="H349" s="35"/>
      <c r="I349" s="35"/>
      <c r="J349" s="35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2:31" x14ac:dyDescent="0.25">
      <c r="B350" s="4"/>
      <c r="C350" s="4"/>
      <c r="D350" s="4"/>
      <c r="E350" s="4"/>
      <c r="F350" s="4"/>
      <c r="G350" s="35"/>
      <c r="H350" s="35"/>
      <c r="I350" s="35"/>
      <c r="J350" s="35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2:31" x14ac:dyDescent="0.25">
      <c r="B351" s="4"/>
      <c r="C351" s="4"/>
      <c r="D351" s="4"/>
      <c r="E351" s="4"/>
      <c r="F351" s="4"/>
      <c r="G351" s="35"/>
      <c r="H351" s="35"/>
      <c r="I351" s="35"/>
      <c r="J351" s="35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2:31" x14ac:dyDescent="0.25">
      <c r="B352" s="4"/>
      <c r="C352" s="4"/>
      <c r="D352" s="4"/>
      <c r="E352" s="4"/>
      <c r="F352" s="4"/>
      <c r="G352" s="35"/>
      <c r="H352" s="35"/>
      <c r="I352" s="35"/>
      <c r="J352" s="35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2:31" x14ac:dyDescent="0.25">
      <c r="B353" s="4"/>
      <c r="C353" s="4"/>
      <c r="D353" s="4"/>
      <c r="E353" s="4"/>
      <c r="F353" s="4"/>
      <c r="G353" s="35"/>
      <c r="H353" s="35"/>
      <c r="I353" s="35"/>
      <c r="J353" s="35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2:31" x14ac:dyDescent="0.25">
      <c r="B354" s="4"/>
      <c r="C354" s="4"/>
      <c r="D354" s="4"/>
      <c r="E354" s="4"/>
      <c r="F354" s="4"/>
      <c r="G354" s="35"/>
      <c r="H354" s="35"/>
      <c r="I354" s="35"/>
      <c r="J354" s="35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2:31" x14ac:dyDescent="0.25">
      <c r="B355" s="4"/>
      <c r="C355" s="4"/>
      <c r="D355" s="4"/>
      <c r="E355" s="4"/>
      <c r="F355" s="4"/>
      <c r="G355" s="35"/>
      <c r="H355" s="35"/>
      <c r="I355" s="35"/>
      <c r="J355" s="35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2:31" x14ac:dyDescent="0.25">
      <c r="B356" s="4"/>
      <c r="C356" s="4"/>
      <c r="D356" s="4"/>
      <c r="E356" s="4"/>
      <c r="F356" s="4"/>
      <c r="G356" s="35"/>
      <c r="H356" s="35"/>
      <c r="I356" s="35"/>
      <c r="J356" s="35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2:31" x14ac:dyDescent="0.25">
      <c r="B357" s="4"/>
      <c r="C357" s="4"/>
      <c r="D357" s="4"/>
      <c r="E357" s="4"/>
      <c r="F357" s="4"/>
      <c r="G357" s="35"/>
      <c r="H357" s="35"/>
      <c r="I357" s="35"/>
      <c r="J357" s="35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2:31" x14ac:dyDescent="0.25">
      <c r="B358" s="4"/>
      <c r="C358" s="4"/>
      <c r="D358" s="4"/>
      <c r="E358" s="4"/>
      <c r="F358" s="4"/>
      <c r="G358" s="35"/>
      <c r="H358" s="35"/>
      <c r="I358" s="35"/>
      <c r="J358" s="35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2:31" x14ac:dyDescent="0.25">
      <c r="B359" s="4"/>
      <c r="C359" s="4"/>
      <c r="D359" s="4"/>
      <c r="E359" s="4"/>
      <c r="F359" s="4"/>
      <c r="G359" s="35"/>
      <c r="H359" s="35"/>
      <c r="I359" s="35"/>
      <c r="J359" s="35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2:31" x14ac:dyDescent="0.25">
      <c r="B360" s="4"/>
      <c r="C360" s="4"/>
      <c r="D360" s="4"/>
      <c r="E360" s="4"/>
      <c r="F360" s="4"/>
      <c r="G360" s="35"/>
      <c r="H360" s="35"/>
      <c r="I360" s="35"/>
      <c r="J360" s="35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2:31" x14ac:dyDescent="0.25">
      <c r="B361" s="4"/>
      <c r="C361" s="4"/>
      <c r="D361" s="4"/>
      <c r="E361" s="4"/>
      <c r="F361" s="4"/>
      <c r="G361" s="35"/>
      <c r="H361" s="35"/>
      <c r="I361" s="35"/>
      <c r="J361" s="35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2:31" x14ac:dyDescent="0.25">
      <c r="B362" s="4"/>
      <c r="C362" s="4"/>
      <c r="D362" s="4"/>
      <c r="E362" s="4"/>
      <c r="F362" s="4"/>
      <c r="G362" s="35"/>
      <c r="H362" s="35"/>
      <c r="I362" s="35"/>
      <c r="J362" s="35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2:31" x14ac:dyDescent="0.25">
      <c r="B363" s="4"/>
      <c r="C363" s="4"/>
      <c r="D363" s="4"/>
      <c r="E363" s="4"/>
      <c r="F363" s="4"/>
      <c r="G363" s="35"/>
      <c r="H363" s="35"/>
      <c r="I363" s="35"/>
      <c r="J363" s="35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2:31" x14ac:dyDescent="0.25">
      <c r="B364" s="4"/>
      <c r="C364" s="4"/>
      <c r="D364" s="4"/>
      <c r="E364" s="4"/>
      <c r="F364" s="4"/>
      <c r="G364" s="35"/>
      <c r="H364" s="35"/>
      <c r="I364" s="35"/>
      <c r="J364" s="35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2:31" x14ac:dyDescent="0.25">
      <c r="B365" s="4"/>
      <c r="C365" s="4"/>
      <c r="D365" s="4"/>
      <c r="E365" s="4"/>
      <c r="F365" s="4"/>
      <c r="G365" s="35"/>
      <c r="H365" s="35"/>
      <c r="I365" s="35"/>
      <c r="J365" s="35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2:31" x14ac:dyDescent="0.25">
      <c r="B366" s="4"/>
      <c r="C366" s="4"/>
      <c r="D366" s="4"/>
      <c r="E366" s="4"/>
      <c r="F366" s="4"/>
      <c r="G366" s="35"/>
      <c r="H366" s="35"/>
      <c r="I366" s="35"/>
      <c r="J366" s="35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2:31" x14ac:dyDescent="0.25">
      <c r="B367" s="4"/>
      <c r="C367" s="4"/>
      <c r="D367" s="4"/>
      <c r="E367" s="4"/>
      <c r="F367" s="4"/>
      <c r="G367" s="35"/>
      <c r="H367" s="35"/>
      <c r="I367" s="35"/>
      <c r="J367" s="35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2:31" x14ac:dyDescent="0.25">
      <c r="B368" s="4"/>
      <c r="C368" s="4"/>
      <c r="D368" s="4"/>
      <c r="E368" s="4"/>
      <c r="F368" s="4"/>
      <c r="G368" s="35"/>
      <c r="H368" s="35"/>
      <c r="I368" s="35"/>
      <c r="J368" s="35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2:31" x14ac:dyDescent="0.25">
      <c r="B369" s="4"/>
      <c r="C369" s="4"/>
      <c r="D369" s="4"/>
      <c r="E369" s="4"/>
      <c r="F369" s="4"/>
      <c r="G369" s="35"/>
      <c r="H369" s="35"/>
      <c r="I369" s="35"/>
      <c r="J369" s="35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2:31" x14ac:dyDescent="0.25">
      <c r="B370" s="4"/>
      <c r="C370" s="4"/>
      <c r="D370" s="4"/>
      <c r="E370" s="4"/>
      <c r="F370" s="4"/>
      <c r="G370" s="35"/>
      <c r="H370" s="35"/>
      <c r="I370" s="35"/>
      <c r="J370" s="35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2:31" x14ac:dyDescent="0.25">
      <c r="B371" s="4"/>
      <c r="C371" s="4"/>
      <c r="D371" s="4"/>
      <c r="E371" s="4"/>
      <c r="F371" s="4"/>
      <c r="G371" s="35"/>
      <c r="H371" s="35"/>
      <c r="I371" s="35"/>
      <c r="J371" s="35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2:31" x14ac:dyDescent="0.25">
      <c r="B372" s="4"/>
      <c r="C372" s="4"/>
      <c r="D372" s="4"/>
      <c r="E372" s="4"/>
      <c r="F372" s="4"/>
      <c r="G372" s="35"/>
      <c r="H372" s="35"/>
      <c r="I372" s="35"/>
      <c r="J372" s="35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2:31" x14ac:dyDescent="0.25">
      <c r="B373" s="4"/>
      <c r="C373" s="4"/>
      <c r="D373" s="4"/>
      <c r="E373" s="4"/>
      <c r="F373" s="4"/>
      <c r="G373" s="35"/>
      <c r="H373" s="35"/>
      <c r="I373" s="35"/>
      <c r="J373" s="35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2:31" x14ac:dyDescent="0.25">
      <c r="B374" s="4"/>
      <c r="C374" s="4"/>
      <c r="D374" s="4"/>
      <c r="E374" s="4"/>
      <c r="F374" s="4"/>
      <c r="G374" s="35"/>
      <c r="H374" s="35"/>
      <c r="I374" s="35"/>
      <c r="J374" s="35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2:31" x14ac:dyDescent="0.25">
      <c r="B375" s="4"/>
      <c r="C375" s="4"/>
      <c r="D375" s="4"/>
      <c r="E375" s="4"/>
      <c r="F375" s="4"/>
      <c r="G375" s="35"/>
      <c r="H375" s="35"/>
      <c r="I375" s="35"/>
      <c r="J375" s="35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2:31" x14ac:dyDescent="0.25">
      <c r="B376" s="4"/>
      <c r="C376" s="4"/>
      <c r="D376" s="4"/>
      <c r="E376" s="4"/>
      <c r="F376" s="4"/>
      <c r="G376" s="35"/>
      <c r="H376" s="35"/>
      <c r="I376" s="35"/>
      <c r="J376" s="35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2:31" x14ac:dyDescent="0.25">
      <c r="B377" s="4"/>
      <c r="C377" s="4"/>
      <c r="D377" s="4"/>
      <c r="E377" s="4"/>
      <c r="F377" s="4"/>
      <c r="G377" s="35"/>
      <c r="H377" s="35"/>
      <c r="I377" s="35"/>
      <c r="J377" s="35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2:31" x14ac:dyDescent="0.25">
      <c r="B378" s="4"/>
      <c r="C378" s="4"/>
      <c r="D378" s="4"/>
      <c r="E378" s="4"/>
      <c r="F378" s="4"/>
      <c r="G378" s="35"/>
      <c r="H378" s="35"/>
      <c r="I378" s="35"/>
      <c r="J378" s="35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2:31" x14ac:dyDescent="0.25">
      <c r="B379" s="4"/>
      <c r="C379" s="4"/>
      <c r="D379" s="4"/>
      <c r="E379" s="4"/>
      <c r="F379" s="4"/>
      <c r="G379" s="35"/>
      <c r="H379" s="35"/>
      <c r="I379" s="35"/>
      <c r="J379" s="35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2:31" x14ac:dyDescent="0.25">
      <c r="B380" s="4"/>
      <c r="C380" s="4"/>
      <c r="D380" s="4"/>
      <c r="E380" s="4"/>
      <c r="F380" s="4"/>
      <c r="G380" s="35"/>
      <c r="H380" s="35"/>
      <c r="I380" s="35"/>
      <c r="J380" s="35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2:31" x14ac:dyDescent="0.25">
      <c r="B381" s="4"/>
      <c r="C381" s="4"/>
      <c r="D381" s="4"/>
      <c r="E381" s="4"/>
      <c r="F381" s="4"/>
      <c r="G381" s="35"/>
      <c r="H381" s="35"/>
      <c r="I381" s="35"/>
      <c r="J381" s="35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2:31" x14ac:dyDescent="0.25">
      <c r="B382" s="4"/>
      <c r="C382" s="4"/>
      <c r="D382" s="4"/>
      <c r="E382" s="4"/>
      <c r="F382" s="4"/>
      <c r="G382" s="35"/>
      <c r="H382" s="35"/>
      <c r="I382" s="35"/>
      <c r="J382" s="35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2:31" x14ac:dyDescent="0.25">
      <c r="B383" s="4"/>
      <c r="C383" s="4"/>
      <c r="D383" s="4"/>
      <c r="E383" s="4"/>
      <c r="F383" s="4"/>
      <c r="G383" s="35"/>
      <c r="H383" s="35"/>
      <c r="I383" s="35"/>
      <c r="J383" s="35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2:31" x14ac:dyDescent="0.25">
      <c r="B384" s="4"/>
      <c r="C384" s="4"/>
      <c r="D384" s="4"/>
      <c r="E384" s="4"/>
      <c r="F384" s="4"/>
      <c r="G384" s="35"/>
      <c r="H384" s="35"/>
      <c r="I384" s="35"/>
      <c r="J384" s="35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2:31" x14ac:dyDescent="0.25">
      <c r="B385" s="4"/>
      <c r="C385" s="4"/>
      <c r="D385" s="4"/>
      <c r="E385" s="4"/>
      <c r="F385" s="4"/>
      <c r="G385" s="35"/>
      <c r="H385" s="35"/>
      <c r="I385" s="35"/>
      <c r="J385" s="35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2:31" x14ac:dyDescent="0.25">
      <c r="B386" s="4"/>
      <c r="C386" s="4"/>
      <c r="D386" s="4"/>
      <c r="E386" s="4"/>
      <c r="F386" s="4"/>
      <c r="G386" s="35"/>
      <c r="H386" s="35"/>
      <c r="I386" s="35"/>
      <c r="J386" s="35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2:31" x14ac:dyDescent="0.25">
      <c r="B387" s="4"/>
      <c r="C387" s="4"/>
      <c r="D387" s="4"/>
      <c r="E387" s="4"/>
      <c r="F387" s="4"/>
      <c r="G387" s="35"/>
      <c r="H387" s="35"/>
      <c r="I387" s="35"/>
      <c r="J387" s="35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2:31" x14ac:dyDescent="0.25">
      <c r="B388" s="4"/>
      <c r="C388" s="4"/>
      <c r="D388" s="4"/>
      <c r="E388" s="4"/>
      <c r="F388" s="4"/>
      <c r="G388" s="35"/>
      <c r="H388" s="35"/>
      <c r="I388" s="35"/>
      <c r="J388" s="35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2:31" x14ac:dyDescent="0.25">
      <c r="B389" s="4"/>
      <c r="C389" s="4"/>
      <c r="D389" s="4"/>
      <c r="E389" s="4"/>
      <c r="F389" s="4"/>
      <c r="G389" s="35"/>
      <c r="H389" s="35"/>
      <c r="I389" s="35"/>
      <c r="J389" s="35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2:31" x14ac:dyDescent="0.25">
      <c r="B390" s="4"/>
      <c r="C390" s="4"/>
      <c r="D390" s="4"/>
      <c r="E390" s="4"/>
      <c r="F390" s="4"/>
      <c r="G390" s="35"/>
      <c r="H390" s="35"/>
      <c r="I390" s="35"/>
      <c r="J390" s="35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EF11-8A24-4046-939D-5FE0EF00813D}">
  <dimension ref="A2:AE264"/>
  <sheetViews>
    <sheetView topLeftCell="A226" zoomScale="80" zoomScaleNormal="80" workbookViewId="0">
      <selection activeCell="B246" sqref="B246:AE246"/>
    </sheetView>
  </sheetViews>
  <sheetFormatPr baseColWidth="10" defaultRowHeight="15" x14ac:dyDescent="0.25"/>
  <cols>
    <col min="5" max="5" width="81.7109375" bestFit="1" customWidth="1"/>
    <col min="7" max="7" width="22" bestFit="1" customWidth="1"/>
    <col min="8" max="8" width="23" bestFit="1" customWidth="1"/>
    <col min="9" max="9" width="28.5703125" bestFit="1" customWidth="1"/>
    <col min="10" max="10" width="29.85546875" bestFit="1" customWidth="1"/>
  </cols>
  <sheetData>
    <row r="2" spans="1:31" ht="15.75" thickBot="1" x14ac:dyDescent="0.3">
      <c r="B2" s="1" t="s">
        <v>17</v>
      </c>
      <c r="C2" s="1" t="s">
        <v>18</v>
      </c>
      <c r="D2" s="1" t="s">
        <v>15</v>
      </c>
      <c r="E2" s="1" t="s">
        <v>19</v>
      </c>
      <c r="F2" s="1" t="s">
        <v>22</v>
      </c>
      <c r="G2" s="1" t="s">
        <v>35</v>
      </c>
      <c r="H2" s="1" t="s">
        <v>23</v>
      </c>
      <c r="I2" s="1" t="s">
        <v>24</v>
      </c>
      <c r="J2" s="1" t="s">
        <v>25</v>
      </c>
      <c r="K2" s="1" t="s">
        <v>42</v>
      </c>
      <c r="L2" s="1" t="s">
        <v>44</v>
      </c>
      <c r="M2" s="1" t="s">
        <v>46</v>
      </c>
      <c r="N2" s="1" t="s">
        <v>48</v>
      </c>
      <c r="O2" s="1" t="s">
        <v>50</v>
      </c>
      <c r="P2" s="1" t="s">
        <v>26</v>
      </c>
      <c r="Q2" s="1" t="s">
        <v>28</v>
      </c>
      <c r="R2" s="1" t="s">
        <v>30</v>
      </c>
      <c r="S2" s="1" t="s">
        <v>32</v>
      </c>
      <c r="T2" s="1" t="s">
        <v>0</v>
      </c>
      <c r="U2" s="1" t="s">
        <v>33</v>
      </c>
      <c r="V2" s="1" t="s">
        <v>36</v>
      </c>
      <c r="W2" s="1" t="s">
        <v>38</v>
      </c>
      <c r="X2" s="1" t="s">
        <v>39</v>
      </c>
      <c r="Y2" s="1" t="s">
        <v>40</v>
      </c>
      <c r="Z2" s="1" t="s">
        <v>43</v>
      </c>
      <c r="AA2" s="1" t="s">
        <v>45</v>
      </c>
      <c r="AB2" s="1" t="s">
        <v>47</v>
      </c>
      <c r="AC2" s="1" t="s">
        <v>49</v>
      </c>
      <c r="AD2" s="1" t="s">
        <v>51</v>
      </c>
      <c r="AE2" s="10" t="s">
        <v>41</v>
      </c>
    </row>
    <row r="3" spans="1:31" ht="26.25" thickBot="1" x14ac:dyDescent="0.3">
      <c r="A3">
        <v>1</v>
      </c>
      <c r="B3" s="4">
        <v>140</v>
      </c>
      <c r="C3" s="12">
        <v>27</v>
      </c>
      <c r="D3" s="12">
        <v>2</v>
      </c>
      <c r="E3" s="13" t="s">
        <v>962</v>
      </c>
      <c r="G3" s="20" t="s">
        <v>1082</v>
      </c>
      <c r="H3" s="26" t="s">
        <v>1189</v>
      </c>
      <c r="I3" s="29" t="s">
        <v>1294</v>
      </c>
      <c r="J3" s="30" t="s">
        <v>961</v>
      </c>
      <c r="P3" s="31" t="s">
        <v>189</v>
      </c>
      <c r="T3">
        <v>1</v>
      </c>
      <c r="U3">
        <v>1.2</v>
      </c>
    </row>
    <row r="4" spans="1:31" ht="15.75" thickBot="1" x14ac:dyDescent="0.3">
      <c r="A4">
        <v>2</v>
      </c>
      <c r="B4" s="4">
        <v>141</v>
      </c>
      <c r="C4" s="12">
        <v>27</v>
      </c>
      <c r="D4" s="12">
        <v>2</v>
      </c>
      <c r="E4" s="14" t="s">
        <v>963</v>
      </c>
      <c r="G4" s="21" t="s">
        <v>1083</v>
      </c>
      <c r="H4" s="27" t="s">
        <v>1190</v>
      </c>
      <c r="I4" s="16" t="s">
        <v>1295</v>
      </c>
      <c r="J4" s="16" t="s">
        <v>1404</v>
      </c>
      <c r="P4" s="32" t="s">
        <v>207</v>
      </c>
      <c r="T4">
        <v>1</v>
      </c>
      <c r="U4">
        <v>1.2</v>
      </c>
    </row>
    <row r="5" spans="1:31" ht="15.75" thickBot="1" x14ac:dyDescent="0.3">
      <c r="A5">
        <v>3</v>
      </c>
      <c r="B5" s="4">
        <v>142</v>
      </c>
      <c r="C5" s="12">
        <v>27</v>
      </c>
      <c r="D5" s="12">
        <v>2</v>
      </c>
      <c r="E5" s="15" t="s">
        <v>964</v>
      </c>
      <c r="G5" s="17" t="s">
        <v>1084</v>
      </c>
      <c r="H5" s="21" t="s">
        <v>1191</v>
      </c>
      <c r="I5" s="19" t="s">
        <v>1296</v>
      </c>
      <c r="J5" s="15" t="s">
        <v>961</v>
      </c>
      <c r="P5" s="33" t="s">
        <v>183</v>
      </c>
      <c r="T5">
        <v>1</v>
      </c>
      <c r="U5">
        <v>1.2</v>
      </c>
    </row>
    <row r="6" spans="1:31" ht="15.75" thickBot="1" x14ac:dyDescent="0.3">
      <c r="A6">
        <v>4</v>
      </c>
      <c r="B6" s="4">
        <v>143</v>
      </c>
      <c r="C6" s="12">
        <v>27</v>
      </c>
      <c r="D6" s="12">
        <v>2</v>
      </c>
      <c r="E6" s="16" t="s">
        <v>965</v>
      </c>
      <c r="G6" s="22" t="s">
        <v>1085</v>
      </c>
      <c r="H6" s="21" t="s">
        <v>1192</v>
      </c>
      <c r="I6" s="18" t="s">
        <v>1297</v>
      </c>
      <c r="J6" s="16" t="s">
        <v>961</v>
      </c>
      <c r="P6" s="32" t="s">
        <v>183</v>
      </c>
      <c r="T6">
        <v>1</v>
      </c>
      <c r="U6">
        <v>1.3</v>
      </c>
    </row>
    <row r="7" spans="1:31" ht="26.25" thickBot="1" x14ac:dyDescent="0.3">
      <c r="A7">
        <v>5</v>
      </c>
      <c r="B7" s="4">
        <v>144</v>
      </c>
      <c r="C7" s="12">
        <v>27</v>
      </c>
      <c r="D7" s="12">
        <v>2</v>
      </c>
      <c r="E7" s="17" t="s">
        <v>966</v>
      </c>
      <c r="G7" s="21" t="s">
        <v>1086</v>
      </c>
      <c r="H7" s="19" t="s">
        <v>1193</v>
      </c>
      <c r="I7" s="15" t="s">
        <v>1298</v>
      </c>
      <c r="J7" s="23" t="s">
        <v>1405</v>
      </c>
      <c r="P7" s="33" t="s">
        <v>207</v>
      </c>
      <c r="T7">
        <v>1</v>
      </c>
      <c r="U7">
        <v>1.3</v>
      </c>
    </row>
    <row r="8" spans="1:31" ht="26.25" thickBot="1" x14ac:dyDescent="0.3">
      <c r="A8">
        <v>6</v>
      </c>
      <c r="B8" s="4">
        <v>145</v>
      </c>
      <c r="C8" s="12">
        <v>27</v>
      </c>
      <c r="D8" s="12">
        <v>2</v>
      </c>
      <c r="E8" s="16" t="s">
        <v>967</v>
      </c>
      <c r="G8" s="16" t="s">
        <v>1087</v>
      </c>
      <c r="H8" s="16" t="s">
        <v>1194</v>
      </c>
      <c r="I8" s="22" t="s">
        <v>1299</v>
      </c>
      <c r="J8" s="21" t="s">
        <v>1406</v>
      </c>
      <c r="P8" s="32" t="s">
        <v>255</v>
      </c>
      <c r="T8">
        <v>1</v>
      </c>
      <c r="U8">
        <v>1.3</v>
      </c>
    </row>
    <row r="9" spans="1:31" ht="26.25" thickBot="1" x14ac:dyDescent="0.3">
      <c r="A9">
        <v>7</v>
      </c>
      <c r="B9" s="4">
        <v>146</v>
      </c>
      <c r="C9" s="12">
        <v>27</v>
      </c>
      <c r="D9" s="12">
        <v>2</v>
      </c>
      <c r="E9" s="15" t="s">
        <v>968</v>
      </c>
      <c r="G9" s="23" t="s">
        <v>1088</v>
      </c>
      <c r="H9" s="17" t="s">
        <v>1195</v>
      </c>
      <c r="I9" s="21" t="s">
        <v>1300</v>
      </c>
      <c r="J9" s="19" t="s">
        <v>961</v>
      </c>
      <c r="P9" s="33" t="s">
        <v>189</v>
      </c>
      <c r="T9">
        <v>1</v>
      </c>
      <c r="U9">
        <v>1.4</v>
      </c>
    </row>
    <row r="10" spans="1:31" ht="26.25" thickBot="1" x14ac:dyDescent="0.3">
      <c r="A10">
        <v>8</v>
      </c>
      <c r="B10" s="4">
        <v>147</v>
      </c>
      <c r="C10" s="12">
        <v>27</v>
      </c>
      <c r="D10" s="12">
        <v>2</v>
      </c>
      <c r="E10" s="14" t="s">
        <v>969</v>
      </c>
      <c r="G10" s="21" t="s">
        <v>1089</v>
      </c>
      <c r="H10" s="18" t="s">
        <v>1196</v>
      </c>
      <c r="I10" s="16" t="s">
        <v>1301</v>
      </c>
      <c r="J10" s="24" t="s">
        <v>961</v>
      </c>
      <c r="P10" s="32" t="s">
        <v>207</v>
      </c>
      <c r="T10">
        <v>1</v>
      </c>
      <c r="U10">
        <v>1.4</v>
      </c>
    </row>
    <row r="11" spans="1:31" ht="26.25" thickBot="1" x14ac:dyDescent="0.3">
      <c r="A11">
        <v>9</v>
      </c>
      <c r="B11" s="4">
        <v>148</v>
      </c>
      <c r="C11" s="12">
        <v>27</v>
      </c>
      <c r="D11" s="12">
        <v>2</v>
      </c>
      <c r="E11" s="15" t="s">
        <v>970</v>
      </c>
      <c r="G11" s="15" t="s">
        <v>1090</v>
      </c>
      <c r="H11" s="15" t="s">
        <v>1197</v>
      </c>
      <c r="I11" s="17" t="s">
        <v>1302</v>
      </c>
      <c r="J11" s="21" t="s">
        <v>1407</v>
      </c>
      <c r="P11" s="33" t="s">
        <v>255</v>
      </c>
      <c r="T11">
        <v>1</v>
      </c>
      <c r="U11">
        <v>1.4</v>
      </c>
    </row>
    <row r="12" spans="1:31" ht="51.75" thickBot="1" x14ac:dyDescent="0.3">
      <c r="A12">
        <v>10</v>
      </c>
      <c r="B12" s="4">
        <v>149</v>
      </c>
      <c r="C12" s="12">
        <v>27</v>
      </c>
      <c r="D12" s="12">
        <v>2</v>
      </c>
      <c r="E12" s="16" t="s">
        <v>971</v>
      </c>
      <c r="G12" s="24" t="s">
        <v>1091</v>
      </c>
      <c r="H12" s="16" t="s">
        <v>1198</v>
      </c>
      <c r="I12" s="14" t="s">
        <v>1303</v>
      </c>
      <c r="J12" s="21" t="s">
        <v>1408</v>
      </c>
      <c r="P12" s="32" t="s">
        <v>255</v>
      </c>
      <c r="T12">
        <v>1</v>
      </c>
      <c r="U12">
        <v>2.1</v>
      </c>
    </row>
    <row r="13" spans="1:31" ht="26.25" thickBot="1" x14ac:dyDescent="0.3">
      <c r="A13">
        <v>11</v>
      </c>
      <c r="B13" s="4">
        <v>150</v>
      </c>
      <c r="C13" s="12">
        <v>27</v>
      </c>
      <c r="D13" s="12">
        <v>2</v>
      </c>
      <c r="E13" s="17" t="s">
        <v>972</v>
      </c>
      <c r="G13" s="21" t="s">
        <v>1092</v>
      </c>
      <c r="H13" s="19" t="s">
        <v>1199</v>
      </c>
      <c r="I13" s="23" t="s">
        <v>1304</v>
      </c>
      <c r="J13" s="15" t="s">
        <v>1409</v>
      </c>
      <c r="P13" s="33" t="s">
        <v>207</v>
      </c>
      <c r="T13">
        <v>1</v>
      </c>
      <c r="U13">
        <v>2.1</v>
      </c>
    </row>
    <row r="14" spans="1:31" ht="26.25" thickBot="1" x14ac:dyDescent="0.3">
      <c r="A14">
        <v>12</v>
      </c>
      <c r="B14" s="4">
        <v>151</v>
      </c>
      <c r="C14" s="12">
        <v>27</v>
      </c>
      <c r="D14" s="12">
        <v>2</v>
      </c>
      <c r="E14" s="16" t="s">
        <v>973</v>
      </c>
      <c r="G14" s="16" t="s">
        <v>1093</v>
      </c>
      <c r="H14" s="22" t="s">
        <v>1199</v>
      </c>
      <c r="I14" s="21" t="s">
        <v>1305</v>
      </c>
      <c r="J14" s="18" t="s">
        <v>961</v>
      </c>
      <c r="P14" s="32" t="s">
        <v>189</v>
      </c>
      <c r="T14">
        <v>1</v>
      </c>
      <c r="U14">
        <v>2.1</v>
      </c>
    </row>
    <row r="15" spans="1:31" ht="26.25" thickBot="1" x14ac:dyDescent="0.3">
      <c r="A15">
        <v>13</v>
      </c>
      <c r="B15" s="4">
        <v>152</v>
      </c>
      <c r="C15" s="12">
        <v>27</v>
      </c>
      <c r="D15" s="12">
        <v>2</v>
      </c>
      <c r="E15" s="15" t="s">
        <v>974</v>
      </c>
      <c r="G15" s="17" t="s">
        <v>1094</v>
      </c>
      <c r="H15" s="21" t="s">
        <v>1200</v>
      </c>
      <c r="I15" s="28" t="s">
        <v>1306</v>
      </c>
      <c r="J15" s="15" t="s">
        <v>1410</v>
      </c>
      <c r="P15" s="33" t="s">
        <v>183</v>
      </c>
      <c r="T15">
        <v>1</v>
      </c>
      <c r="U15">
        <v>2.2000000000000002</v>
      </c>
    </row>
    <row r="16" spans="1:31" ht="39" thickBot="1" x14ac:dyDescent="0.3">
      <c r="A16">
        <v>14</v>
      </c>
      <c r="B16" s="4">
        <v>153</v>
      </c>
      <c r="C16" s="12">
        <v>27</v>
      </c>
      <c r="D16" s="12">
        <v>2</v>
      </c>
      <c r="E16" s="16" t="s">
        <v>975</v>
      </c>
      <c r="G16" s="24" t="s">
        <v>1095</v>
      </c>
      <c r="H16" s="14" t="s">
        <v>1200</v>
      </c>
      <c r="I16" s="21" t="s">
        <v>1306</v>
      </c>
      <c r="J16" s="18" t="s">
        <v>1411</v>
      </c>
      <c r="P16" s="32" t="s">
        <v>189</v>
      </c>
      <c r="T16">
        <v>1</v>
      </c>
      <c r="U16">
        <v>2.2000000000000002</v>
      </c>
    </row>
    <row r="17" spans="1:21" ht="39" thickBot="1" x14ac:dyDescent="0.3">
      <c r="A17">
        <v>15</v>
      </c>
      <c r="B17" s="4">
        <v>154</v>
      </c>
      <c r="C17" s="12">
        <v>27</v>
      </c>
      <c r="D17" s="12">
        <v>2</v>
      </c>
      <c r="E17" s="17" t="s">
        <v>976</v>
      </c>
      <c r="G17" s="21" t="s">
        <v>1094</v>
      </c>
      <c r="H17" s="19" t="s">
        <v>1200</v>
      </c>
      <c r="I17" s="15" t="s">
        <v>1307</v>
      </c>
      <c r="J17" s="23" t="s">
        <v>961</v>
      </c>
      <c r="P17" s="33" t="s">
        <v>207</v>
      </c>
      <c r="T17">
        <v>1</v>
      </c>
      <c r="U17">
        <v>2.2000000000000002</v>
      </c>
    </row>
    <row r="18" spans="1:21" ht="51.75" thickBot="1" x14ac:dyDescent="0.3">
      <c r="A18">
        <v>16</v>
      </c>
      <c r="B18" s="4">
        <v>155</v>
      </c>
      <c r="C18" s="12">
        <v>27</v>
      </c>
      <c r="D18" s="12">
        <v>2</v>
      </c>
      <c r="E18" s="16" t="s">
        <v>977</v>
      </c>
      <c r="G18" s="16" t="s">
        <v>1096</v>
      </c>
      <c r="H18" s="16" t="s">
        <v>1201</v>
      </c>
      <c r="I18" s="22" t="s">
        <v>1308</v>
      </c>
      <c r="J18" s="21" t="s">
        <v>1412</v>
      </c>
      <c r="P18" s="32" t="s">
        <v>255</v>
      </c>
      <c r="T18">
        <v>1</v>
      </c>
      <c r="U18">
        <v>2.2999999999999998</v>
      </c>
    </row>
    <row r="19" spans="1:21" ht="26.25" thickBot="1" x14ac:dyDescent="0.3">
      <c r="A19">
        <v>17</v>
      </c>
      <c r="B19" s="4">
        <v>156</v>
      </c>
      <c r="C19" s="12">
        <v>27</v>
      </c>
      <c r="D19" s="12">
        <v>2</v>
      </c>
      <c r="E19" s="15" t="s">
        <v>978</v>
      </c>
      <c r="G19" s="15" t="s">
        <v>1097</v>
      </c>
      <c r="H19" s="17" t="s">
        <v>1202</v>
      </c>
      <c r="I19" s="21" t="s">
        <v>1309</v>
      </c>
      <c r="J19" s="19" t="s">
        <v>961</v>
      </c>
      <c r="P19" s="33" t="s">
        <v>189</v>
      </c>
      <c r="T19">
        <v>1</v>
      </c>
      <c r="U19">
        <v>2.2999999999999998</v>
      </c>
    </row>
    <row r="20" spans="1:21" ht="26.25" thickBot="1" x14ac:dyDescent="0.3">
      <c r="A20">
        <v>18</v>
      </c>
      <c r="B20" s="4">
        <v>157</v>
      </c>
      <c r="C20" s="12">
        <v>27</v>
      </c>
      <c r="D20" s="12">
        <v>2</v>
      </c>
      <c r="E20" s="16" t="s">
        <v>979</v>
      </c>
      <c r="G20" s="16" t="s">
        <v>1098</v>
      </c>
      <c r="H20" s="14" t="s">
        <v>1203</v>
      </c>
      <c r="I20" s="21" t="s">
        <v>1310</v>
      </c>
      <c r="J20" s="27" t="s">
        <v>961</v>
      </c>
      <c r="P20" s="32" t="s">
        <v>189</v>
      </c>
      <c r="T20">
        <v>1</v>
      </c>
      <c r="U20">
        <v>2.2999999999999998</v>
      </c>
    </row>
    <row r="21" spans="1:21" ht="39" thickBot="1" x14ac:dyDescent="0.3">
      <c r="A21">
        <v>19</v>
      </c>
      <c r="B21" s="4">
        <v>158</v>
      </c>
      <c r="C21" s="12">
        <v>27</v>
      </c>
      <c r="D21" s="12">
        <v>2</v>
      </c>
      <c r="E21" s="15" t="s">
        <v>980</v>
      </c>
      <c r="G21" s="15" t="s">
        <v>1099</v>
      </c>
      <c r="H21" s="23" t="s">
        <v>1204</v>
      </c>
      <c r="I21" s="17" t="s">
        <v>1311</v>
      </c>
      <c r="J21" s="21" t="s">
        <v>1413</v>
      </c>
      <c r="P21" s="33" t="s">
        <v>255</v>
      </c>
      <c r="T21">
        <v>1</v>
      </c>
      <c r="U21">
        <v>2.4</v>
      </c>
    </row>
    <row r="22" spans="1:21" ht="39" thickBot="1" x14ac:dyDescent="0.3">
      <c r="A22">
        <v>20</v>
      </c>
      <c r="B22" s="4">
        <v>159</v>
      </c>
      <c r="C22" s="12">
        <v>27</v>
      </c>
      <c r="D22" s="12">
        <v>2</v>
      </c>
      <c r="E22" s="16" t="s">
        <v>981</v>
      </c>
      <c r="G22" s="14" t="s">
        <v>1100</v>
      </c>
      <c r="H22" s="21" t="s">
        <v>1205</v>
      </c>
      <c r="I22" s="27" t="s">
        <v>1312</v>
      </c>
      <c r="J22" s="16" t="s">
        <v>1414</v>
      </c>
      <c r="P22" s="32" t="s">
        <v>183</v>
      </c>
      <c r="T22">
        <v>1</v>
      </c>
      <c r="U22">
        <v>2.4</v>
      </c>
    </row>
    <row r="23" spans="1:21" ht="77.25" thickBot="1" x14ac:dyDescent="0.3">
      <c r="A23">
        <v>21</v>
      </c>
      <c r="B23" s="4">
        <v>160</v>
      </c>
      <c r="C23" s="12">
        <v>27</v>
      </c>
      <c r="D23" s="12">
        <v>2</v>
      </c>
      <c r="E23" s="15" t="s">
        <v>982</v>
      </c>
      <c r="G23" s="15" t="s">
        <v>1101</v>
      </c>
      <c r="H23" s="17" t="s">
        <v>1206</v>
      </c>
      <c r="I23" s="21" t="s">
        <v>1313</v>
      </c>
      <c r="J23" s="28" t="s">
        <v>1414</v>
      </c>
      <c r="P23" s="33" t="s">
        <v>189</v>
      </c>
      <c r="T23">
        <v>1</v>
      </c>
      <c r="U23">
        <v>2.4</v>
      </c>
    </row>
    <row r="24" spans="1:21" ht="39" thickBot="1" x14ac:dyDescent="0.3">
      <c r="A24">
        <v>22</v>
      </c>
      <c r="B24" s="4">
        <v>161</v>
      </c>
      <c r="C24" s="12">
        <v>27</v>
      </c>
      <c r="D24" s="12">
        <v>2</v>
      </c>
      <c r="E24" s="16" t="s">
        <v>983</v>
      </c>
      <c r="G24" s="16" t="s">
        <v>1102</v>
      </c>
      <c r="H24" s="16" t="s">
        <v>1207</v>
      </c>
      <c r="I24" s="14" t="s">
        <v>1314</v>
      </c>
      <c r="J24" s="21" t="s">
        <v>1415</v>
      </c>
      <c r="P24" s="32" t="s">
        <v>255</v>
      </c>
      <c r="T24">
        <v>1</v>
      </c>
      <c r="U24">
        <v>2.5</v>
      </c>
    </row>
    <row r="25" spans="1:21" ht="64.5" thickBot="1" x14ac:dyDescent="0.3">
      <c r="A25">
        <v>23</v>
      </c>
      <c r="B25" s="4">
        <v>162</v>
      </c>
      <c r="C25" s="12">
        <v>27</v>
      </c>
      <c r="D25" s="12">
        <v>2</v>
      </c>
      <c r="E25" s="15" t="s">
        <v>984</v>
      </c>
      <c r="G25" s="23" t="s">
        <v>1103</v>
      </c>
      <c r="H25" s="15" t="s">
        <v>1208</v>
      </c>
      <c r="I25" s="17" t="s">
        <v>1315</v>
      </c>
      <c r="J25" s="21" t="s">
        <v>1416</v>
      </c>
      <c r="P25" s="33" t="s">
        <v>255</v>
      </c>
      <c r="T25">
        <v>1</v>
      </c>
      <c r="U25">
        <v>2.5</v>
      </c>
    </row>
    <row r="26" spans="1:21" ht="39" thickBot="1" x14ac:dyDescent="0.3">
      <c r="A26">
        <v>24</v>
      </c>
      <c r="B26" s="4">
        <v>163</v>
      </c>
      <c r="C26" s="12">
        <v>27</v>
      </c>
      <c r="D26" s="12">
        <v>2</v>
      </c>
      <c r="E26" s="14" t="s">
        <v>985</v>
      </c>
      <c r="G26" s="21" t="s">
        <v>1104</v>
      </c>
      <c r="H26" s="18" t="s">
        <v>1209</v>
      </c>
      <c r="I26" s="24" t="s">
        <v>1316</v>
      </c>
      <c r="J26" s="16" t="s">
        <v>1408</v>
      </c>
      <c r="P26" s="32" t="s">
        <v>207</v>
      </c>
      <c r="T26">
        <v>1</v>
      </c>
      <c r="U26">
        <v>2.5</v>
      </c>
    </row>
    <row r="27" spans="1:21" ht="77.25" thickBot="1" x14ac:dyDescent="0.3">
      <c r="A27">
        <v>25</v>
      </c>
      <c r="B27" s="4">
        <v>164</v>
      </c>
      <c r="C27" s="12">
        <v>27</v>
      </c>
      <c r="D27" s="12">
        <v>2</v>
      </c>
      <c r="E27" s="15" t="s">
        <v>986</v>
      </c>
      <c r="G27" s="23" t="s">
        <v>1105</v>
      </c>
      <c r="H27" s="17" t="s">
        <v>1210</v>
      </c>
      <c r="I27" s="21" t="s">
        <v>1317</v>
      </c>
      <c r="J27" s="19" t="s">
        <v>1417</v>
      </c>
      <c r="P27" s="33" t="s">
        <v>189</v>
      </c>
      <c r="T27">
        <v>1</v>
      </c>
      <c r="U27">
        <v>3.1</v>
      </c>
    </row>
    <row r="28" spans="1:21" ht="90" thickBot="1" x14ac:dyDescent="0.3">
      <c r="A28">
        <v>26</v>
      </c>
      <c r="B28" s="4">
        <v>165</v>
      </c>
      <c r="C28" s="12">
        <v>27</v>
      </c>
      <c r="D28" s="12">
        <v>2</v>
      </c>
      <c r="E28" s="14" t="s">
        <v>987</v>
      </c>
      <c r="G28" s="21" t="s">
        <v>1106</v>
      </c>
      <c r="H28" s="18" t="s">
        <v>1211</v>
      </c>
      <c r="I28" s="16" t="s">
        <v>1305</v>
      </c>
      <c r="J28" s="24" t="s">
        <v>1418</v>
      </c>
      <c r="P28" s="34" t="s">
        <v>207</v>
      </c>
      <c r="T28">
        <v>1</v>
      </c>
      <c r="U28">
        <v>3.1</v>
      </c>
    </row>
    <row r="29" spans="1:21" ht="26.25" thickBot="1" x14ac:dyDescent="0.3">
      <c r="A29">
        <v>27</v>
      </c>
      <c r="B29" s="4">
        <v>166</v>
      </c>
      <c r="C29" s="12">
        <v>27</v>
      </c>
      <c r="D29" s="12">
        <v>2</v>
      </c>
      <c r="E29" s="15" t="s">
        <v>988</v>
      </c>
      <c r="G29" s="15" t="s">
        <v>1107</v>
      </c>
      <c r="H29" s="23" t="s">
        <v>1212</v>
      </c>
      <c r="I29" s="17" t="s">
        <v>1318</v>
      </c>
      <c r="J29" s="21" t="s">
        <v>1408</v>
      </c>
      <c r="P29" s="33" t="s">
        <v>255</v>
      </c>
      <c r="T29">
        <v>1</v>
      </c>
      <c r="U29">
        <v>3.1</v>
      </c>
    </row>
    <row r="30" spans="1:21" ht="26.25" thickBot="1" x14ac:dyDescent="0.3">
      <c r="A30">
        <v>28</v>
      </c>
      <c r="B30" s="4">
        <v>167</v>
      </c>
      <c r="C30" s="12">
        <v>27</v>
      </c>
      <c r="D30" s="12">
        <v>2</v>
      </c>
      <c r="E30" s="16" t="s">
        <v>989</v>
      </c>
      <c r="G30" s="14" t="s">
        <v>1097</v>
      </c>
      <c r="H30" s="21" t="s">
        <v>1213</v>
      </c>
      <c r="I30" s="18" t="s">
        <v>1319</v>
      </c>
      <c r="J30" s="24" t="s">
        <v>1408</v>
      </c>
      <c r="P30" s="32" t="s">
        <v>183</v>
      </c>
      <c r="T30">
        <v>1</v>
      </c>
      <c r="U30">
        <v>3.2</v>
      </c>
    </row>
    <row r="31" spans="1:21" ht="15.75" thickBot="1" x14ac:dyDescent="0.3">
      <c r="A31">
        <v>29</v>
      </c>
      <c r="B31" s="4">
        <v>168</v>
      </c>
      <c r="C31" s="12">
        <v>27</v>
      </c>
      <c r="D31" s="12">
        <v>2</v>
      </c>
      <c r="E31" s="15" t="s">
        <v>990</v>
      </c>
      <c r="G31" s="15" t="s">
        <v>1108</v>
      </c>
      <c r="H31" s="15" t="s">
        <v>1214</v>
      </c>
      <c r="I31" s="17" t="s">
        <v>1320</v>
      </c>
      <c r="J31" s="21" t="s">
        <v>1419</v>
      </c>
      <c r="P31" s="33" t="s">
        <v>255</v>
      </c>
      <c r="T31">
        <v>1</v>
      </c>
      <c r="U31">
        <v>3.2</v>
      </c>
    </row>
    <row r="32" spans="1:21" ht="39" thickBot="1" x14ac:dyDescent="0.3">
      <c r="A32">
        <v>30</v>
      </c>
      <c r="B32" s="4">
        <v>169</v>
      </c>
      <c r="C32" s="12">
        <v>27</v>
      </c>
      <c r="D32" s="12">
        <v>2</v>
      </c>
      <c r="E32" s="16" t="s">
        <v>991</v>
      </c>
      <c r="G32" s="16" t="s">
        <v>1109</v>
      </c>
      <c r="H32" s="24" t="s">
        <v>1215</v>
      </c>
      <c r="I32" s="14" t="s">
        <v>1321</v>
      </c>
      <c r="J32" s="21" t="s">
        <v>1408</v>
      </c>
      <c r="P32" s="32" t="s">
        <v>255</v>
      </c>
      <c r="T32">
        <v>1</v>
      </c>
      <c r="U32">
        <v>3.2</v>
      </c>
    </row>
    <row r="33" spans="1:21" ht="26.25" thickBot="1" x14ac:dyDescent="0.3">
      <c r="A33">
        <v>31</v>
      </c>
      <c r="B33" s="4">
        <v>170</v>
      </c>
      <c r="C33" s="12">
        <v>27</v>
      </c>
      <c r="D33" s="12">
        <v>2</v>
      </c>
      <c r="E33" s="15" t="s">
        <v>992</v>
      </c>
      <c r="G33" s="17" t="s">
        <v>1110</v>
      </c>
      <c r="H33" s="21" t="s">
        <v>1216</v>
      </c>
      <c r="I33" s="28" t="s">
        <v>1322</v>
      </c>
      <c r="J33" s="15" t="s">
        <v>1410</v>
      </c>
      <c r="P33" s="33" t="s">
        <v>183</v>
      </c>
      <c r="T33">
        <v>1</v>
      </c>
      <c r="U33">
        <v>3.3</v>
      </c>
    </row>
    <row r="34" spans="1:21" ht="26.25" thickBot="1" x14ac:dyDescent="0.3">
      <c r="A34">
        <v>32</v>
      </c>
      <c r="B34" s="4">
        <v>171</v>
      </c>
      <c r="C34" s="12">
        <v>27</v>
      </c>
      <c r="D34" s="12">
        <v>2</v>
      </c>
      <c r="E34" s="16" t="s">
        <v>993</v>
      </c>
      <c r="G34" s="16" t="s">
        <v>1111</v>
      </c>
      <c r="H34" s="14" t="s">
        <v>1217</v>
      </c>
      <c r="I34" s="21" t="s">
        <v>1323</v>
      </c>
      <c r="J34" s="18" t="s">
        <v>1420</v>
      </c>
      <c r="P34" s="32" t="s">
        <v>189</v>
      </c>
      <c r="T34">
        <v>1</v>
      </c>
      <c r="U34">
        <v>3.3</v>
      </c>
    </row>
    <row r="35" spans="1:21" ht="39" thickBot="1" x14ac:dyDescent="0.3">
      <c r="A35">
        <v>33</v>
      </c>
      <c r="B35" s="4">
        <v>172</v>
      </c>
      <c r="C35" s="12">
        <v>27</v>
      </c>
      <c r="D35" s="12">
        <v>2</v>
      </c>
      <c r="E35" s="15" t="s">
        <v>994</v>
      </c>
      <c r="G35" s="23" t="s">
        <v>1112</v>
      </c>
      <c r="H35" s="17" t="s">
        <v>1218</v>
      </c>
      <c r="I35" s="21" t="s">
        <v>1324</v>
      </c>
      <c r="J35" s="19" t="s">
        <v>961</v>
      </c>
      <c r="P35" s="33" t="s">
        <v>189</v>
      </c>
      <c r="T35">
        <v>1</v>
      </c>
      <c r="U35">
        <v>3.3</v>
      </c>
    </row>
    <row r="36" spans="1:21" ht="26.25" thickBot="1" x14ac:dyDescent="0.3">
      <c r="A36">
        <v>34</v>
      </c>
      <c r="B36" s="4">
        <v>173</v>
      </c>
      <c r="C36" s="12">
        <v>27</v>
      </c>
      <c r="D36" s="12">
        <v>2</v>
      </c>
      <c r="E36" s="14" t="s">
        <v>995</v>
      </c>
      <c r="G36" s="21" t="s">
        <v>1113</v>
      </c>
      <c r="H36" s="18" t="s">
        <v>1219</v>
      </c>
      <c r="I36" s="24" t="s">
        <v>1325</v>
      </c>
      <c r="J36" s="16" t="s">
        <v>1421</v>
      </c>
      <c r="P36" s="32" t="s">
        <v>207</v>
      </c>
      <c r="T36">
        <v>1</v>
      </c>
      <c r="U36">
        <v>3.4</v>
      </c>
    </row>
    <row r="37" spans="1:21" ht="26.25" thickBot="1" x14ac:dyDescent="0.3">
      <c r="A37">
        <v>35</v>
      </c>
      <c r="B37" s="4">
        <v>174</v>
      </c>
      <c r="C37" s="12">
        <v>27</v>
      </c>
      <c r="D37" s="12">
        <v>2</v>
      </c>
      <c r="E37" s="15" t="s">
        <v>996</v>
      </c>
      <c r="G37" s="15" t="s">
        <v>1114</v>
      </c>
      <c r="H37" s="17" t="s">
        <v>1220</v>
      </c>
      <c r="I37" s="21" t="s">
        <v>1326</v>
      </c>
      <c r="J37" s="28" t="s">
        <v>1422</v>
      </c>
      <c r="P37" s="33" t="s">
        <v>189</v>
      </c>
      <c r="T37">
        <v>1</v>
      </c>
      <c r="U37">
        <v>3.4</v>
      </c>
    </row>
    <row r="38" spans="1:21" ht="102.75" thickBot="1" x14ac:dyDescent="0.3">
      <c r="A38">
        <v>36</v>
      </c>
      <c r="B38" s="4">
        <v>175</v>
      </c>
      <c r="C38" s="12">
        <v>27</v>
      </c>
      <c r="D38" s="12">
        <v>2</v>
      </c>
      <c r="E38" s="16" t="s">
        <v>997</v>
      </c>
      <c r="G38" s="16" t="s">
        <v>1115</v>
      </c>
      <c r="H38" s="16" t="s">
        <v>1221</v>
      </c>
      <c r="I38" s="14" t="s">
        <v>1327</v>
      </c>
      <c r="J38" s="21" t="s">
        <v>1408</v>
      </c>
      <c r="P38" s="32" t="s">
        <v>255</v>
      </c>
      <c r="T38">
        <v>1</v>
      </c>
      <c r="U38">
        <v>3.4</v>
      </c>
    </row>
    <row r="39" spans="1:21" ht="39" thickBot="1" x14ac:dyDescent="0.3">
      <c r="A39">
        <v>37</v>
      </c>
      <c r="B39" s="4">
        <v>176</v>
      </c>
      <c r="C39" s="12">
        <v>27</v>
      </c>
      <c r="D39" s="12">
        <v>2</v>
      </c>
      <c r="E39" s="15" t="s">
        <v>998</v>
      </c>
      <c r="G39" s="15" t="s">
        <v>1116</v>
      </c>
      <c r="H39" s="15" t="s">
        <v>1222</v>
      </c>
      <c r="I39" s="25" t="s">
        <v>1328</v>
      </c>
      <c r="J39" s="21" t="s">
        <v>1408</v>
      </c>
      <c r="P39" s="33" t="s">
        <v>255</v>
      </c>
      <c r="T39">
        <v>1</v>
      </c>
      <c r="U39">
        <v>3.5</v>
      </c>
    </row>
    <row r="40" spans="1:21" ht="26.25" thickBot="1" x14ac:dyDescent="0.3">
      <c r="A40">
        <v>38</v>
      </c>
      <c r="B40" s="4">
        <v>177</v>
      </c>
      <c r="C40" s="12">
        <v>27</v>
      </c>
      <c r="D40" s="12">
        <v>2</v>
      </c>
      <c r="E40" s="16" t="s">
        <v>999</v>
      </c>
      <c r="G40" s="16" t="s">
        <v>1117</v>
      </c>
      <c r="H40" s="14" t="s">
        <v>1223</v>
      </c>
      <c r="I40" s="21" t="s">
        <v>1329</v>
      </c>
      <c r="J40" s="27" t="s">
        <v>961</v>
      </c>
      <c r="P40" s="32" t="s">
        <v>189</v>
      </c>
      <c r="T40">
        <v>1</v>
      </c>
      <c r="U40">
        <v>3.5</v>
      </c>
    </row>
    <row r="41" spans="1:21" ht="26.25" thickBot="1" x14ac:dyDescent="0.3">
      <c r="A41">
        <v>39</v>
      </c>
      <c r="B41" s="4">
        <v>178</v>
      </c>
      <c r="C41" s="12">
        <v>27</v>
      </c>
      <c r="D41" s="12">
        <v>2</v>
      </c>
      <c r="E41" s="15" t="s">
        <v>1000</v>
      </c>
      <c r="G41" s="15" t="s">
        <v>1118</v>
      </c>
      <c r="H41" s="15" t="s">
        <v>1224</v>
      </c>
      <c r="I41" s="25" t="s">
        <v>1330</v>
      </c>
      <c r="J41" s="21" t="s">
        <v>1413</v>
      </c>
      <c r="P41" s="33" t="s">
        <v>255</v>
      </c>
      <c r="T41">
        <v>1</v>
      </c>
      <c r="U41">
        <v>3.5</v>
      </c>
    </row>
    <row r="42" spans="1:21" ht="26.25" thickBot="1" x14ac:dyDescent="0.3">
      <c r="A42">
        <v>40</v>
      </c>
      <c r="B42" s="4">
        <v>179</v>
      </c>
      <c r="C42" s="12">
        <v>27</v>
      </c>
      <c r="D42" s="12">
        <v>2</v>
      </c>
      <c r="E42" s="16" t="s">
        <v>1001</v>
      </c>
      <c r="G42" s="16" t="s">
        <v>1119</v>
      </c>
      <c r="H42" s="14" t="s">
        <v>1225</v>
      </c>
      <c r="I42" s="21" t="s">
        <v>1331</v>
      </c>
      <c r="J42" s="27" t="s">
        <v>1423</v>
      </c>
      <c r="P42" s="32" t="s">
        <v>189</v>
      </c>
      <c r="T42">
        <v>1</v>
      </c>
      <c r="U42">
        <v>4.0999999999999996</v>
      </c>
    </row>
    <row r="43" spans="1:21" ht="39" thickBot="1" x14ac:dyDescent="0.3">
      <c r="A43">
        <v>41</v>
      </c>
      <c r="B43" s="4">
        <v>180</v>
      </c>
      <c r="C43" s="12">
        <v>27</v>
      </c>
      <c r="D43" s="12">
        <v>2</v>
      </c>
      <c r="E43" s="15" t="s">
        <v>1002</v>
      </c>
      <c r="G43" s="15" t="s">
        <v>1120</v>
      </c>
      <c r="H43" s="15" t="s">
        <v>1226</v>
      </c>
      <c r="I43" s="17" t="s">
        <v>1332</v>
      </c>
      <c r="J43" s="21" t="s">
        <v>1424</v>
      </c>
      <c r="P43" s="33" t="s">
        <v>255</v>
      </c>
      <c r="T43">
        <v>1</v>
      </c>
      <c r="U43">
        <v>4.0999999999999996</v>
      </c>
    </row>
    <row r="44" spans="1:21" ht="26.25" thickBot="1" x14ac:dyDescent="0.3">
      <c r="A44">
        <v>42</v>
      </c>
      <c r="B44" s="4">
        <v>181</v>
      </c>
      <c r="C44" s="12">
        <v>27</v>
      </c>
      <c r="D44" s="12">
        <v>2</v>
      </c>
      <c r="E44" s="16" t="s">
        <v>1003</v>
      </c>
      <c r="G44" s="16" t="s">
        <v>1121</v>
      </c>
      <c r="H44" s="16" t="s">
        <v>1227</v>
      </c>
      <c r="I44" s="22" t="s">
        <v>1332</v>
      </c>
      <c r="J44" s="21" t="s">
        <v>1425</v>
      </c>
      <c r="P44" s="32" t="s">
        <v>255</v>
      </c>
      <c r="T44">
        <v>1</v>
      </c>
      <c r="U44">
        <v>4.0999999999999996</v>
      </c>
    </row>
    <row r="45" spans="1:21" ht="26.25" thickBot="1" x14ac:dyDescent="0.3">
      <c r="A45">
        <v>43</v>
      </c>
      <c r="B45" s="4">
        <v>182</v>
      </c>
      <c r="C45" s="12">
        <v>27</v>
      </c>
      <c r="D45" s="12">
        <v>2</v>
      </c>
      <c r="E45" s="15" t="s">
        <v>1004</v>
      </c>
      <c r="G45" s="15" t="s">
        <v>1122</v>
      </c>
      <c r="H45" s="25" t="s">
        <v>1228</v>
      </c>
      <c r="I45" s="21" t="s">
        <v>1333</v>
      </c>
      <c r="J45" s="19" t="s">
        <v>961</v>
      </c>
      <c r="P45" s="33" t="s">
        <v>189</v>
      </c>
      <c r="T45">
        <v>1</v>
      </c>
      <c r="U45">
        <v>4.2</v>
      </c>
    </row>
    <row r="46" spans="1:21" ht="26.25" thickBot="1" x14ac:dyDescent="0.3">
      <c r="A46">
        <v>44</v>
      </c>
      <c r="B46" s="4">
        <v>183</v>
      </c>
      <c r="C46" s="12">
        <v>27</v>
      </c>
      <c r="D46" s="12">
        <v>2</v>
      </c>
      <c r="E46" s="16" t="s">
        <v>1005</v>
      </c>
      <c r="G46" s="14" t="s">
        <v>1123</v>
      </c>
      <c r="H46" s="21" t="s">
        <v>1229</v>
      </c>
      <c r="I46" s="27" t="s">
        <v>1334</v>
      </c>
      <c r="J46" s="16" t="s">
        <v>1426</v>
      </c>
      <c r="P46" s="32" t="s">
        <v>183</v>
      </c>
      <c r="T46">
        <v>1</v>
      </c>
      <c r="U46">
        <v>4.2</v>
      </c>
    </row>
    <row r="47" spans="1:21" ht="15.75" thickBot="1" x14ac:dyDescent="0.3">
      <c r="A47">
        <v>45</v>
      </c>
      <c r="B47" s="4">
        <v>184</v>
      </c>
      <c r="C47" s="12">
        <v>27</v>
      </c>
      <c r="D47" s="12">
        <v>2</v>
      </c>
      <c r="E47" s="15" t="s">
        <v>1006</v>
      </c>
      <c r="G47" s="15" t="s">
        <v>1124</v>
      </c>
      <c r="H47" s="17" t="s">
        <v>1230</v>
      </c>
      <c r="I47" s="21" t="s">
        <v>1335</v>
      </c>
      <c r="J47" s="28" t="s">
        <v>1427</v>
      </c>
      <c r="P47" s="33" t="s">
        <v>189</v>
      </c>
      <c r="T47">
        <v>1</v>
      </c>
      <c r="U47">
        <v>4.2</v>
      </c>
    </row>
    <row r="48" spans="1:21" ht="26.25" thickBot="1" x14ac:dyDescent="0.3">
      <c r="A48">
        <v>46</v>
      </c>
      <c r="B48" s="4">
        <v>185</v>
      </c>
      <c r="C48" s="12">
        <v>27</v>
      </c>
      <c r="D48" s="12">
        <v>2</v>
      </c>
      <c r="E48" s="16" t="s">
        <v>1007</v>
      </c>
      <c r="G48" s="16" t="s">
        <v>1125</v>
      </c>
      <c r="H48" s="16" t="s">
        <v>1231</v>
      </c>
      <c r="I48" s="14" t="s">
        <v>1336</v>
      </c>
      <c r="J48" s="21" t="s">
        <v>1428</v>
      </c>
      <c r="P48" s="32" t="s">
        <v>255</v>
      </c>
      <c r="T48">
        <v>1</v>
      </c>
      <c r="U48">
        <v>4.3</v>
      </c>
    </row>
    <row r="49" spans="1:21" ht="26.25" thickBot="1" x14ac:dyDescent="0.3">
      <c r="A49">
        <v>47</v>
      </c>
      <c r="B49" s="4">
        <v>186</v>
      </c>
      <c r="C49" s="12">
        <v>27</v>
      </c>
      <c r="D49" s="12">
        <v>2</v>
      </c>
      <c r="E49" s="15" t="s">
        <v>1008</v>
      </c>
      <c r="G49" s="23" t="s">
        <v>1126</v>
      </c>
      <c r="H49" s="15" t="s">
        <v>1232</v>
      </c>
      <c r="I49" s="17" t="s">
        <v>1337</v>
      </c>
      <c r="J49" s="21" t="s">
        <v>1408</v>
      </c>
      <c r="P49" s="33" t="s">
        <v>255</v>
      </c>
      <c r="T49">
        <v>1</v>
      </c>
      <c r="U49">
        <v>4.3</v>
      </c>
    </row>
    <row r="50" spans="1:21" ht="26.25" thickBot="1" x14ac:dyDescent="0.3">
      <c r="A50">
        <v>48</v>
      </c>
      <c r="B50" s="4">
        <v>187</v>
      </c>
      <c r="C50" s="12">
        <v>27</v>
      </c>
      <c r="D50" s="12">
        <v>2</v>
      </c>
      <c r="E50" s="14" t="s">
        <v>1009</v>
      </c>
      <c r="G50" s="21" t="s">
        <v>1127</v>
      </c>
      <c r="H50" s="18" t="s">
        <v>1230</v>
      </c>
      <c r="I50" s="16" t="s">
        <v>1335</v>
      </c>
      <c r="J50" s="24" t="s">
        <v>1427</v>
      </c>
      <c r="P50" s="32" t="s">
        <v>207</v>
      </c>
      <c r="T50">
        <v>1</v>
      </c>
      <c r="U50">
        <v>4.3</v>
      </c>
    </row>
    <row r="51" spans="1:21" ht="15.75" thickBot="1" x14ac:dyDescent="0.3">
      <c r="A51">
        <v>49</v>
      </c>
      <c r="B51" s="4">
        <v>188</v>
      </c>
      <c r="C51" s="12">
        <v>27</v>
      </c>
      <c r="D51" s="12">
        <v>2</v>
      </c>
      <c r="E51" s="15" t="s">
        <v>1010</v>
      </c>
      <c r="G51" s="15" t="s">
        <v>1128</v>
      </c>
      <c r="H51" s="23" t="s">
        <v>1233</v>
      </c>
      <c r="I51" s="17" t="s">
        <v>1338</v>
      </c>
      <c r="J51" s="21" t="s">
        <v>1429</v>
      </c>
      <c r="P51" s="33" t="s">
        <v>255</v>
      </c>
      <c r="T51">
        <v>1</v>
      </c>
      <c r="U51">
        <v>4.4000000000000004</v>
      </c>
    </row>
    <row r="52" spans="1:21" ht="15.75" thickBot="1" x14ac:dyDescent="0.3">
      <c r="A52">
        <v>50</v>
      </c>
      <c r="B52" s="4">
        <v>189</v>
      </c>
      <c r="C52" s="12">
        <v>27</v>
      </c>
      <c r="D52" s="12">
        <v>2</v>
      </c>
      <c r="E52" s="16" t="s">
        <v>1011</v>
      </c>
      <c r="G52" s="22" t="s">
        <v>1128</v>
      </c>
      <c r="H52" s="21" t="s">
        <v>1234</v>
      </c>
      <c r="I52" s="18" t="s">
        <v>1338</v>
      </c>
      <c r="J52" s="16" t="s">
        <v>1430</v>
      </c>
      <c r="P52" s="32" t="s">
        <v>183</v>
      </c>
      <c r="T52">
        <v>1</v>
      </c>
      <c r="U52">
        <v>4.4000000000000004</v>
      </c>
    </row>
    <row r="53" spans="1:21" ht="26.25" thickBot="1" x14ac:dyDescent="0.3">
      <c r="A53">
        <v>51</v>
      </c>
      <c r="B53" s="4">
        <v>190</v>
      </c>
      <c r="C53" s="12">
        <v>27</v>
      </c>
      <c r="D53" s="12">
        <v>2</v>
      </c>
      <c r="E53" s="17" t="s">
        <v>1012</v>
      </c>
      <c r="G53" s="21" t="s">
        <v>1129</v>
      </c>
      <c r="H53" s="19" t="s">
        <v>1235</v>
      </c>
      <c r="I53" s="15" t="s">
        <v>1339</v>
      </c>
      <c r="J53" s="23" t="s">
        <v>1431</v>
      </c>
      <c r="P53" s="33" t="s">
        <v>207</v>
      </c>
      <c r="T53">
        <v>1</v>
      </c>
      <c r="U53">
        <v>4.4000000000000004</v>
      </c>
    </row>
    <row r="54" spans="1:21" ht="39" thickBot="1" x14ac:dyDescent="0.3">
      <c r="A54">
        <v>52</v>
      </c>
      <c r="B54" s="4">
        <v>191</v>
      </c>
      <c r="C54" s="12">
        <v>27</v>
      </c>
      <c r="D54" s="12">
        <v>2</v>
      </c>
      <c r="E54" s="16" t="s">
        <v>1013</v>
      </c>
      <c r="G54" s="16" t="s">
        <v>1130</v>
      </c>
      <c r="H54" s="16" t="s">
        <v>1236</v>
      </c>
      <c r="I54" s="14" t="s">
        <v>1340</v>
      </c>
      <c r="J54" s="21" t="s">
        <v>1432</v>
      </c>
      <c r="P54" s="32" t="s">
        <v>255</v>
      </c>
      <c r="T54">
        <v>1</v>
      </c>
      <c r="U54">
        <v>5.0999999999999996</v>
      </c>
    </row>
    <row r="55" spans="1:21" ht="51.75" thickBot="1" x14ac:dyDescent="0.3">
      <c r="A55">
        <v>53</v>
      </c>
      <c r="B55" s="4">
        <v>192</v>
      </c>
      <c r="C55" s="12">
        <v>27</v>
      </c>
      <c r="D55" s="12">
        <v>2</v>
      </c>
      <c r="E55" s="15" t="s">
        <v>1014</v>
      </c>
      <c r="G55" s="23" t="s">
        <v>1131</v>
      </c>
      <c r="H55" s="15" t="s">
        <v>1237</v>
      </c>
      <c r="I55" s="17" t="s">
        <v>1341</v>
      </c>
      <c r="J55" s="21" t="s">
        <v>1414</v>
      </c>
      <c r="P55" s="33" t="s">
        <v>255</v>
      </c>
      <c r="T55">
        <v>1</v>
      </c>
      <c r="U55">
        <v>5.0999999999999996</v>
      </c>
    </row>
    <row r="56" spans="1:21" ht="39" thickBot="1" x14ac:dyDescent="0.3">
      <c r="A56">
        <v>54</v>
      </c>
      <c r="B56" s="4">
        <v>193</v>
      </c>
      <c r="C56" s="12">
        <v>27</v>
      </c>
      <c r="D56" s="12">
        <v>2</v>
      </c>
      <c r="E56" s="14" t="s">
        <v>1015</v>
      </c>
      <c r="G56" s="21" t="s">
        <v>1132</v>
      </c>
      <c r="H56" s="18" t="s">
        <v>1238</v>
      </c>
      <c r="I56" s="16" t="s">
        <v>1342</v>
      </c>
      <c r="J56" s="24" t="s">
        <v>1431</v>
      </c>
      <c r="P56" s="32" t="s">
        <v>207</v>
      </c>
      <c r="T56">
        <v>1</v>
      </c>
      <c r="U56">
        <v>5.0999999999999996</v>
      </c>
    </row>
    <row r="57" spans="1:21" ht="51.75" thickBot="1" x14ac:dyDescent="0.3">
      <c r="A57">
        <v>55</v>
      </c>
      <c r="B57" s="4">
        <v>194</v>
      </c>
      <c r="C57" s="12">
        <v>27</v>
      </c>
      <c r="D57" s="12">
        <v>2</v>
      </c>
      <c r="E57" s="15" t="s">
        <v>1016</v>
      </c>
      <c r="G57" s="15" t="s">
        <v>1133</v>
      </c>
      <c r="H57" s="15" t="s">
        <v>1239</v>
      </c>
      <c r="I57" s="25" t="s">
        <v>1343</v>
      </c>
      <c r="J57" s="21" t="s">
        <v>1433</v>
      </c>
      <c r="P57" s="33" t="s">
        <v>255</v>
      </c>
      <c r="T57">
        <v>1</v>
      </c>
      <c r="U57">
        <v>5.2</v>
      </c>
    </row>
    <row r="58" spans="1:21" ht="51.75" thickBot="1" x14ac:dyDescent="0.3">
      <c r="A58">
        <v>56</v>
      </c>
      <c r="B58" s="4">
        <v>195</v>
      </c>
      <c r="C58" s="12">
        <v>27</v>
      </c>
      <c r="D58" s="12">
        <v>2</v>
      </c>
      <c r="E58" s="16" t="s">
        <v>1017</v>
      </c>
      <c r="G58" s="16" t="s">
        <v>1131</v>
      </c>
      <c r="H58" s="14" t="s">
        <v>1240</v>
      </c>
      <c r="I58" s="21" t="s">
        <v>1344</v>
      </c>
      <c r="J58" s="27" t="s">
        <v>1434</v>
      </c>
      <c r="P58" s="32" t="s">
        <v>189</v>
      </c>
      <c r="T58">
        <v>1</v>
      </c>
      <c r="U58">
        <v>5.2</v>
      </c>
    </row>
    <row r="59" spans="1:21" ht="39" thickBot="1" x14ac:dyDescent="0.3">
      <c r="A59">
        <v>57</v>
      </c>
      <c r="B59" s="4">
        <v>196</v>
      </c>
      <c r="C59" s="12">
        <v>27</v>
      </c>
      <c r="D59" s="12">
        <v>2</v>
      </c>
      <c r="E59" s="15" t="s">
        <v>1018</v>
      </c>
      <c r="G59" s="23" t="s">
        <v>1132</v>
      </c>
      <c r="H59" s="15" t="s">
        <v>1241</v>
      </c>
      <c r="I59" s="17" t="s">
        <v>1345</v>
      </c>
      <c r="J59" s="21" t="s">
        <v>1435</v>
      </c>
      <c r="P59" s="33" t="s">
        <v>255</v>
      </c>
      <c r="T59">
        <v>1</v>
      </c>
      <c r="U59">
        <v>5.2</v>
      </c>
    </row>
    <row r="60" spans="1:21" ht="64.5" thickBot="1" x14ac:dyDescent="0.3">
      <c r="A60">
        <v>58</v>
      </c>
      <c r="B60" s="4">
        <v>197</v>
      </c>
      <c r="C60" s="12">
        <v>27</v>
      </c>
      <c r="D60" s="12">
        <v>2</v>
      </c>
      <c r="E60" s="14" t="s">
        <v>1019</v>
      </c>
      <c r="G60" s="21" t="s">
        <v>1134</v>
      </c>
      <c r="H60" s="18" t="s">
        <v>1242</v>
      </c>
      <c r="I60" s="16" t="s">
        <v>1346</v>
      </c>
      <c r="J60" s="24" t="s">
        <v>1413</v>
      </c>
      <c r="P60" s="32" t="s">
        <v>207</v>
      </c>
      <c r="T60">
        <v>1</v>
      </c>
      <c r="U60">
        <v>5.3</v>
      </c>
    </row>
    <row r="61" spans="1:21" ht="39" thickBot="1" x14ac:dyDescent="0.3">
      <c r="A61">
        <v>59</v>
      </c>
      <c r="B61" s="4">
        <v>198</v>
      </c>
      <c r="C61" s="12">
        <v>27</v>
      </c>
      <c r="D61" s="12">
        <v>2</v>
      </c>
      <c r="E61" s="15" t="s">
        <v>1020</v>
      </c>
      <c r="G61" s="15" t="s">
        <v>1135</v>
      </c>
      <c r="H61" s="23" t="s">
        <v>1243</v>
      </c>
      <c r="I61" s="17" t="s">
        <v>1347</v>
      </c>
      <c r="J61" s="21" t="s">
        <v>1408</v>
      </c>
      <c r="P61" s="33" t="s">
        <v>255</v>
      </c>
      <c r="T61">
        <v>1</v>
      </c>
      <c r="U61">
        <v>5.3</v>
      </c>
    </row>
    <row r="62" spans="1:21" ht="26.25" thickBot="1" x14ac:dyDescent="0.3">
      <c r="A62">
        <v>60</v>
      </c>
      <c r="B62" s="4">
        <v>199</v>
      </c>
      <c r="C62" s="12">
        <v>27</v>
      </c>
      <c r="D62" s="12">
        <v>2</v>
      </c>
      <c r="E62" s="16" t="s">
        <v>1021</v>
      </c>
      <c r="G62" s="14" t="s">
        <v>1136</v>
      </c>
      <c r="H62" s="21" t="s">
        <v>1244</v>
      </c>
      <c r="I62" s="18" t="s">
        <v>1348</v>
      </c>
      <c r="J62" s="24" t="s">
        <v>961</v>
      </c>
      <c r="P62" s="32" t="s">
        <v>183</v>
      </c>
      <c r="T62">
        <v>1</v>
      </c>
      <c r="U62">
        <v>5.3</v>
      </c>
    </row>
    <row r="63" spans="1:21" ht="39" thickBot="1" x14ac:dyDescent="0.3">
      <c r="A63">
        <v>61</v>
      </c>
      <c r="B63" s="4">
        <v>200</v>
      </c>
      <c r="C63" s="12">
        <v>27</v>
      </c>
      <c r="D63" s="12">
        <v>2</v>
      </c>
      <c r="E63" s="15" t="s">
        <v>1022</v>
      </c>
      <c r="G63" s="15" t="s">
        <v>1130</v>
      </c>
      <c r="H63" s="15" t="s">
        <v>1236</v>
      </c>
      <c r="I63" s="17" t="s">
        <v>1340</v>
      </c>
      <c r="J63" s="21" t="s">
        <v>1436</v>
      </c>
      <c r="P63" s="33" t="s">
        <v>255</v>
      </c>
      <c r="T63">
        <v>1</v>
      </c>
      <c r="U63">
        <v>5.4</v>
      </c>
    </row>
    <row r="64" spans="1:21" ht="39" thickBot="1" x14ac:dyDescent="0.3">
      <c r="A64">
        <v>62</v>
      </c>
      <c r="B64" s="4">
        <v>201</v>
      </c>
      <c r="C64" s="12">
        <v>27</v>
      </c>
      <c r="D64" s="12">
        <v>2</v>
      </c>
      <c r="E64" s="16" t="s">
        <v>1023</v>
      </c>
      <c r="G64" s="16" t="s">
        <v>1137</v>
      </c>
      <c r="H64" s="16" t="s">
        <v>1239</v>
      </c>
      <c r="I64" s="14" t="s">
        <v>1349</v>
      </c>
      <c r="J64" s="21" t="s">
        <v>1437</v>
      </c>
      <c r="P64" s="32" t="s">
        <v>255</v>
      </c>
      <c r="T64">
        <v>1</v>
      </c>
      <c r="U64">
        <v>5.4</v>
      </c>
    </row>
    <row r="65" spans="1:21" ht="39" thickBot="1" x14ac:dyDescent="0.3">
      <c r="A65">
        <v>63</v>
      </c>
      <c r="B65" s="4">
        <v>202</v>
      </c>
      <c r="C65" s="12">
        <v>27</v>
      </c>
      <c r="D65" s="12">
        <v>2</v>
      </c>
      <c r="E65" s="15" t="s">
        <v>1024</v>
      </c>
      <c r="G65" s="15" t="s">
        <v>1132</v>
      </c>
      <c r="H65" s="15" t="s">
        <v>1238</v>
      </c>
      <c r="I65" s="25" t="s">
        <v>1342</v>
      </c>
      <c r="J65" s="21" t="s">
        <v>961</v>
      </c>
      <c r="P65" s="33" t="s">
        <v>255</v>
      </c>
      <c r="T65">
        <v>1</v>
      </c>
      <c r="U65">
        <v>5.4</v>
      </c>
    </row>
    <row r="66" spans="1:21" ht="26.25" thickBot="1" x14ac:dyDescent="0.3">
      <c r="A66">
        <v>64</v>
      </c>
      <c r="B66" s="4">
        <v>203</v>
      </c>
      <c r="C66" s="12">
        <v>27</v>
      </c>
      <c r="D66" s="12">
        <v>2</v>
      </c>
      <c r="E66" s="16" t="s">
        <v>1025</v>
      </c>
      <c r="G66" s="24" t="s">
        <v>1138</v>
      </c>
      <c r="H66" s="14" t="s">
        <v>1245</v>
      </c>
      <c r="I66" s="21" t="s">
        <v>1350</v>
      </c>
      <c r="J66" s="18" t="s">
        <v>1438</v>
      </c>
      <c r="P66" s="32" t="s">
        <v>189</v>
      </c>
      <c r="T66">
        <v>1</v>
      </c>
      <c r="U66">
        <v>6.1</v>
      </c>
    </row>
    <row r="67" spans="1:21" ht="26.25" thickBot="1" x14ac:dyDescent="0.3">
      <c r="A67">
        <v>65</v>
      </c>
      <c r="B67" s="4">
        <v>204</v>
      </c>
      <c r="C67" s="12">
        <v>27</v>
      </c>
      <c r="D67" s="12">
        <v>2</v>
      </c>
      <c r="E67" s="17" t="s">
        <v>1026</v>
      </c>
      <c r="G67" s="21" t="s">
        <v>1139</v>
      </c>
      <c r="H67" s="19" t="s">
        <v>1246</v>
      </c>
      <c r="I67" s="15" t="s">
        <v>1351</v>
      </c>
      <c r="J67" s="23" t="s">
        <v>1439</v>
      </c>
      <c r="P67" s="33" t="s">
        <v>207</v>
      </c>
      <c r="T67">
        <v>1</v>
      </c>
      <c r="U67">
        <v>6.1</v>
      </c>
    </row>
    <row r="68" spans="1:21" ht="26.25" thickBot="1" x14ac:dyDescent="0.3">
      <c r="A68">
        <v>66</v>
      </c>
      <c r="B68" s="4">
        <v>205</v>
      </c>
      <c r="C68" s="12">
        <v>27</v>
      </c>
      <c r="D68" s="12">
        <v>2</v>
      </c>
      <c r="E68" s="16" t="s">
        <v>1027</v>
      </c>
      <c r="G68" s="16" t="s">
        <v>1138</v>
      </c>
      <c r="H68" s="24" t="s">
        <v>1245</v>
      </c>
      <c r="I68" s="14" t="s">
        <v>1352</v>
      </c>
      <c r="J68" s="21" t="s">
        <v>1440</v>
      </c>
      <c r="P68" s="32" t="s">
        <v>255</v>
      </c>
      <c r="T68">
        <v>1</v>
      </c>
      <c r="U68">
        <v>6.1</v>
      </c>
    </row>
    <row r="69" spans="1:21" ht="15.75" thickBot="1" x14ac:dyDescent="0.3">
      <c r="A69">
        <v>67</v>
      </c>
      <c r="B69" s="4">
        <v>206</v>
      </c>
      <c r="C69" s="12">
        <v>27</v>
      </c>
      <c r="D69" s="12">
        <v>2</v>
      </c>
      <c r="E69" s="15" t="s">
        <v>1028</v>
      </c>
      <c r="G69" s="17" t="s">
        <v>1138</v>
      </c>
      <c r="H69" s="21" t="s">
        <v>1247</v>
      </c>
      <c r="I69" s="19" t="s">
        <v>1353</v>
      </c>
      <c r="J69" s="23" t="s">
        <v>1440</v>
      </c>
      <c r="P69" s="33" t="s">
        <v>183</v>
      </c>
      <c r="T69">
        <v>1</v>
      </c>
      <c r="U69">
        <v>6.2</v>
      </c>
    </row>
    <row r="70" spans="1:21" ht="39" thickBot="1" x14ac:dyDescent="0.3">
      <c r="A70">
        <v>68</v>
      </c>
      <c r="B70" s="4">
        <v>207</v>
      </c>
      <c r="C70" s="12">
        <v>27</v>
      </c>
      <c r="D70" s="12">
        <v>2</v>
      </c>
      <c r="E70" s="16" t="s">
        <v>1029</v>
      </c>
      <c r="G70" s="24" t="s">
        <v>1140</v>
      </c>
      <c r="H70" s="16" t="s">
        <v>1248</v>
      </c>
      <c r="I70" s="14" t="s">
        <v>1354</v>
      </c>
      <c r="J70" s="21" t="s">
        <v>1412</v>
      </c>
      <c r="P70" s="32" t="s">
        <v>255</v>
      </c>
      <c r="T70">
        <v>1</v>
      </c>
      <c r="U70">
        <v>6.2</v>
      </c>
    </row>
    <row r="71" spans="1:21" ht="26.25" thickBot="1" x14ac:dyDescent="0.3">
      <c r="A71">
        <v>69</v>
      </c>
      <c r="B71" s="4">
        <v>208</v>
      </c>
      <c r="C71" s="12">
        <v>27</v>
      </c>
      <c r="D71" s="12">
        <v>2</v>
      </c>
      <c r="E71" s="17" t="s">
        <v>1030</v>
      </c>
      <c r="G71" s="21" t="s">
        <v>1141</v>
      </c>
      <c r="H71" s="19" t="s">
        <v>1249</v>
      </c>
      <c r="I71" s="23" t="s">
        <v>1355</v>
      </c>
      <c r="J71" s="15" t="s">
        <v>1408</v>
      </c>
      <c r="P71" s="33" t="s">
        <v>207</v>
      </c>
      <c r="T71">
        <v>1</v>
      </c>
      <c r="U71">
        <v>6.2</v>
      </c>
    </row>
    <row r="72" spans="1:21" ht="15.75" thickBot="1" x14ac:dyDescent="0.3">
      <c r="A72">
        <v>70</v>
      </c>
      <c r="B72" s="4">
        <v>209</v>
      </c>
      <c r="C72" s="12">
        <v>27</v>
      </c>
      <c r="D72" s="12">
        <v>2</v>
      </c>
      <c r="E72" s="16" t="s">
        <v>1031</v>
      </c>
      <c r="G72" s="16" t="s">
        <v>1142</v>
      </c>
      <c r="H72" s="14" t="s">
        <v>1250</v>
      </c>
      <c r="I72" s="21" t="s">
        <v>1356</v>
      </c>
      <c r="J72" s="18" t="s">
        <v>1441</v>
      </c>
      <c r="P72" s="32" t="s">
        <v>189</v>
      </c>
      <c r="T72">
        <v>1</v>
      </c>
      <c r="U72">
        <v>6.3</v>
      </c>
    </row>
    <row r="73" spans="1:21" ht="15.75" thickBot="1" x14ac:dyDescent="0.3">
      <c r="A73">
        <v>71</v>
      </c>
      <c r="B73" s="4">
        <v>210</v>
      </c>
      <c r="C73" s="12">
        <v>27</v>
      </c>
      <c r="D73" s="12">
        <v>2</v>
      </c>
      <c r="E73" s="15" t="s">
        <v>1032</v>
      </c>
      <c r="G73" s="15" t="s">
        <v>1143</v>
      </c>
      <c r="H73" s="25" t="s">
        <v>1251</v>
      </c>
      <c r="I73" s="21" t="s">
        <v>1357</v>
      </c>
      <c r="J73" s="19" t="s">
        <v>1442</v>
      </c>
      <c r="P73" s="33" t="s">
        <v>189</v>
      </c>
      <c r="T73">
        <v>1</v>
      </c>
      <c r="U73">
        <v>6.3</v>
      </c>
    </row>
    <row r="74" spans="1:21" ht="26.25" thickBot="1" x14ac:dyDescent="0.3">
      <c r="A74">
        <v>72</v>
      </c>
      <c r="B74" s="4">
        <v>211</v>
      </c>
      <c r="C74" s="12">
        <v>27</v>
      </c>
      <c r="D74" s="12">
        <v>2</v>
      </c>
      <c r="E74" s="16" t="s">
        <v>1033</v>
      </c>
      <c r="G74" s="14" t="s">
        <v>1144</v>
      </c>
      <c r="H74" s="21" t="s">
        <v>1252</v>
      </c>
      <c r="I74" s="18" t="s">
        <v>1358</v>
      </c>
      <c r="J74" s="24" t="s">
        <v>1408</v>
      </c>
      <c r="P74" s="32" t="s">
        <v>183</v>
      </c>
      <c r="T74">
        <v>1</v>
      </c>
      <c r="U74">
        <v>6.3</v>
      </c>
    </row>
    <row r="75" spans="1:21" ht="26.25" thickBot="1" x14ac:dyDescent="0.3">
      <c r="A75">
        <v>73</v>
      </c>
      <c r="B75" s="4">
        <v>212</v>
      </c>
      <c r="C75" s="12">
        <v>27</v>
      </c>
      <c r="D75" s="12">
        <v>2</v>
      </c>
      <c r="E75" s="15" t="s">
        <v>1034</v>
      </c>
      <c r="G75" s="15" t="s">
        <v>1145</v>
      </c>
      <c r="H75" s="15" t="s">
        <v>1253</v>
      </c>
      <c r="I75" s="17" t="s">
        <v>1359</v>
      </c>
      <c r="J75" s="21" t="s">
        <v>1443</v>
      </c>
      <c r="P75" s="33" t="s">
        <v>255</v>
      </c>
      <c r="T75">
        <v>1</v>
      </c>
      <c r="U75">
        <v>6.4</v>
      </c>
    </row>
    <row r="76" spans="1:21" ht="39" thickBot="1" x14ac:dyDescent="0.3">
      <c r="A76">
        <v>74</v>
      </c>
      <c r="B76" s="4">
        <v>213</v>
      </c>
      <c r="C76" s="12">
        <v>27</v>
      </c>
      <c r="D76" s="12">
        <v>2</v>
      </c>
      <c r="E76" s="16" t="s">
        <v>1035</v>
      </c>
      <c r="G76" s="16" t="s">
        <v>1146</v>
      </c>
      <c r="H76" s="16" t="s">
        <v>1254</v>
      </c>
      <c r="I76" s="14" t="s">
        <v>1360</v>
      </c>
      <c r="J76" s="21" t="s">
        <v>1412</v>
      </c>
      <c r="P76" s="32" t="s">
        <v>255</v>
      </c>
      <c r="T76">
        <v>1</v>
      </c>
      <c r="U76">
        <v>6.4</v>
      </c>
    </row>
    <row r="77" spans="1:21" ht="77.25" thickBot="1" x14ac:dyDescent="0.3">
      <c r="A77">
        <v>75</v>
      </c>
      <c r="B77" s="4">
        <v>214</v>
      </c>
      <c r="C77" s="12">
        <v>27</v>
      </c>
      <c r="D77" s="12">
        <v>2</v>
      </c>
      <c r="E77" s="15" t="s">
        <v>1036</v>
      </c>
      <c r="G77" s="23" t="s">
        <v>1147</v>
      </c>
      <c r="H77" s="15" t="s">
        <v>1255</v>
      </c>
      <c r="I77" s="17" t="s">
        <v>1361</v>
      </c>
      <c r="J77" s="21" t="s">
        <v>1408</v>
      </c>
      <c r="P77" s="33" t="s">
        <v>255</v>
      </c>
      <c r="T77">
        <v>1</v>
      </c>
      <c r="U77">
        <v>6.4</v>
      </c>
    </row>
    <row r="78" spans="1:21" ht="26.25" thickBot="1" x14ac:dyDescent="0.3">
      <c r="A78">
        <v>76</v>
      </c>
      <c r="B78" s="4">
        <v>215</v>
      </c>
      <c r="C78" s="12">
        <v>27</v>
      </c>
      <c r="D78" s="12">
        <v>2</v>
      </c>
      <c r="E78" s="14" t="s">
        <v>1037</v>
      </c>
      <c r="G78" s="21" t="s">
        <v>1148</v>
      </c>
      <c r="H78" s="18" t="s">
        <v>1256</v>
      </c>
      <c r="I78" s="16" t="s">
        <v>1362</v>
      </c>
      <c r="J78" s="16" t="s">
        <v>1443</v>
      </c>
      <c r="P78" s="32" t="s">
        <v>207</v>
      </c>
      <c r="T78">
        <v>1</v>
      </c>
      <c r="U78">
        <v>6.5</v>
      </c>
    </row>
    <row r="79" spans="1:21" ht="26.25" thickBot="1" x14ac:dyDescent="0.3">
      <c r="A79">
        <v>77</v>
      </c>
      <c r="B79" s="4">
        <v>216</v>
      </c>
      <c r="C79" s="12">
        <v>27</v>
      </c>
      <c r="D79" s="12">
        <v>2</v>
      </c>
      <c r="E79" s="17" t="s">
        <v>1038</v>
      </c>
      <c r="G79" s="21" t="s">
        <v>1149</v>
      </c>
      <c r="H79" s="19" t="s">
        <v>1256</v>
      </c>
      <c r="I79" s="15" t="s">
        <v>1363</v>
      </c>
      <c r="J79" s="23" t="s">
        <v>1444</v>
      </c>
      <c r="P79" s="33" t="s">
        <v>207</v>
      </c>
      <c r="T79">
        <v>1</v>
      </c>
      <c r="U79">
        <v>6.5</v>
      </c>
    </row>
    <row r="80" spans="1:21" ht="51.75" thickBot="1" x14ac:dyDescent="0.3">
      <c r="A80">
        <v>78</v>
      </c>
      <c r="B80" s="4">
        <v>217</v>
      </c>
      <c r="C80" s="12">
        <v>27</v>
      </c>
      <c r="D80" s="12">
        <v>2</v>
      </c>
      <c r="E80" s="16" t="s">
        <v>1039</v>
      </c>
      <c r="G80" s="16" t="s">
        <v>1150</v>
      </c>
      <c r="H80" s="24" t="s">
        <v>1257</v>
      </c>
      <c r="I80" s="14" t="s">
        <v>1364</v>
      </c>
      <c r="J80" s="21" t="s">
        <v>1412</v>
      </c>
      <c r="P80" s="32" t="s">
        <v>255</v>
      </c>
      <c r="T80">
        <v>1</v>
      </c>
      <c r="U80">
        <v>6.5</v>
      </c>
    </row>
    <row r="81" spans="1:21" ht="39" thickBot="1" x14ac:dyDescent="0.3">
      <c r="A81">
        <v>79</v>
      </c>
      <c r="B81" s="4">
        <v>218</v>
      </c>
      <c r="C81" s="12">
        <v>27</v>
      </c>
      <c r="D81" s="12">
        <v>2</v>
      </c>
      <c r="E81" s="15" t="s">
        <v>1040</v>
      </c>
      <c r="G81" s="17" t="s">
        <v>1151</v>
      </c>
      <c r="H81" s="21" t="s">
        <v>1258</v>
      </c>
      <c r="I81" s="19" t="s">
        <v>1365</v>
      </c>
      <c r="J81" s="23" t="s">
        <v>1445</v>
      </c>
      <c r="P81" s="33" t="s">
        <v>183</v>
      </c>
      <c r="T81">
        <v>1</v>
      </c>
      <c r="U81">
        <v>7.1</v>
      </c>
    </row>
    <row r="82" spans="1:21" ht="26.25" thickBot="1" x14ac:dyDescent="0.3">
      <c r="A82">
        <v>80</v>
      </c>
      <c r="B82" s="4">
        <v>219</v>
      </c>
      <c r="C82" s="12">
        <v>27</v>
      </c>
      <c r="D82" s="12">
        <v>2</v>
      </c>
      <c r="E82" s="16" t="s">
        <v>1041</v>
      </c>
      <c r="G82" s="16" t="s">
        <v>1152</v>
      </c>
      <c r="H82" s="16" t="s">
        <v>1259</v>
      </c>
      <c r="I82" s="22" t="s">
        <v>1366</v>
      </c>
      <c r="J82" s="21" t="s">
        <v>1431</v>
      </c>
      <c r="P82" s="32" t="s">
        <v>255</v>
      </c>
      <c r="T82">
        <v>1</v>
      </c>
      <c r="U82">
        <v>7.1</v>
      </c>
    </row>
    <row r="83" spans="1:21" ht="26.25" thickBot="1" x14ac:dyDescent="0.3">
      <c r="A83">
        <v>81</v>
      </c>
      <c r="B83" s="4">
        <v>220</v>
      </c>
      <c r="C83" s="12">
        <v>27</v>
      </c>
      <c r="D83" s="12">
        <v>2</v>
      </c>
      <c r="E83" s="15" t="s">
        <v>1042</v>
      </c>
      <c r="G83" s="23" t="s">
        <v>1153</v>
      </c>
      <c r="H83" s="17" t="s">
        <v>1260</v>
      </c>
      <c r="I83" s="21" t="s">
        <v>1367</v>
      </c>
      <c r="J83" s="19" t="s">
        <v>1446</v>
      </c>
      <c r="P83" s="33" t="s">
        <v>189</v>
      </c>
      <c r="T83">
        <v>1</v>
      </c>
      <c r="U83">
        <v>7.1</v>
      </c>
    </row>
    <row r="84" spans="1:21" ht="26.25" thickBot="1" x14ac:dyDescent="0.3">
      <c r="A84">
        <v>82</v>
      </c>
      <c r="B84" s="4">
        <v>221</v>
      </c>
      <c r="C84" s="12">
        <v>27</v>
      </c>
      <c r="D84" s="12">
        <v>2</v>
      </c>
      <c r="E84" s="14" t="s">
        <v>1043</v>
      </c>
      <c r="G84" s="21" t="s">
        <v>1154</v>
      </c>
      <c r="H84" s="18" t="s">
        <v>1261</v>
      </c>
      <c r="I84" s="24" t="s">
        <v>1368</v>
      </c>
      <c r="J84" s="16" t="s">
        <v>1447</v>
      </c>
      <c r="P84" s="32" t="s">
        <v>207</v>
      </c>
      <c r="T84">
        <v>1</v>
      </c>
      <c r="U84">
        <v>7.2</v>
      </c>
    </row>
    <row r="85" spans="1:21" ht="39" thickBot="1" x14ac:dyDescent="0.3">
      <c r="A85">
        <v>83</v>
      </c>
      <c r="B85" s="4">
        <v>222</v>
      </c>
      <c r="C85" s="12">
        <v>27</v>
      </c>
      <c r="D85" s="12">
        <v>2</v>
      </c>
      <c r="E85" s="15" t="s">
        <v>1044</v>
      </c>
      <c r="G85" s="23" t="s">
        <v>1155</v>
      </c>
      <c r="H85" s="17" t="s">
        <v>1262</v>
      </c>
      <c r="I85" s="21" t="s">
        <v>1369</v>
      </c>
      <c r="J85" s="19" t="s">
        <v>1410</v>
      </c>
      <c r="P85" s="33" t="s">
        <v>189</v>
      </c>
      <c r="T85">
        <v>1</v>
      </c>
      <c r="U85">
        <v>7.2</v>
      </c>
    </row>
    <row r="86" spans="1:21" ht="64.5" thickBot="1" x14ac:dyDescent="0.3">
      <c r="A86">
        <v>84</v>
      </c>
      <c r="B86" s="4">
        <v>223</v>
      </c>
      <c r="C86" s="12">
        <v>27</v>
      </c>
      <c r="D86" s="12">
        <v>2</v>
      </c>
      <c r="E86" s="14" t="s">
        <v>1045</v>
      </c>
      <c r="G86" s="21" t="s">
        <v>1156</v>
      </c>
      <c r="H86" s="18" t="s">
        <v>1263</v>
      </c>
      <c r="I86" s="16" t="s">
        <v>1370</v>
      </c>
      <c r="J86" s="24" t="s">
        <v>961</v>
      </c>
      <c r="P86" s="32" t="s">
        <v>207</v>
      </c>
      <c r="T86">
        <v>1</v>
      </c>
      <c r="U86">
        <v>7.2</v>
      </c>
    </row>
    <row r="87" spans="1:21" ht="26.25" thickBot="1" x14ac:dyDescent="0.3">
      <c r="A87">
        <v>85</v>
      </c>
      <c r="B87" s="4">
        <v>224</v>
      </c>
      <c r="C87" s="12">
        <v>27</v>
      </c>
      <c r="D87" s="12">
        <v>2</v>
      </c>
      <c r="E87" s="15" t="s">
        <v>1046</v>
      </c>
      <c r="G87" s="15" t="s">
        <v>1157</v>
      </c>
      <c r="H87" s="15" t="s">
        <v>1246</v>
      </c>
      <c r="I87" s="17" t="s">
        <v>1371</v>
      </c>
      <c r="J87" s="21" t="s">
        <v>1448</v>
      </c>
      <c r="P87" s="33" t="s">
        <v>255</v>
      </c>
      <c r="T87">
        <v>1</v>
      </c>
      <c r="U87">
        <v>7.3</v>
      </c>
    </row>
    <row r="88" spans="1:21" ht="39" thickBot="1" x14ac:dyDescent="0.3">
      <c r="A88">
        <v>86</v>
      </c>
      <c r="B88" s="4">
        <v>225</v>
      </c>
      <c r="C88" s="12">
        <v>27</v>
      </c>
      <c r="D88" s="12">
        <v>2</v>
      </c>
      <c r="E88" s="16" t="s">
        <v>1047</v>
      </c>
      <c r="G88" s="16" t="s">
        <v>1158</v>
      </c>
      <c r="H88" s="16" t="s">
        <v>1264</v>
      </c>
      <c r="I88" s="14" t="s">
        <v>1372</v>
      </c>
      <c r="J88" s="21" t="s">
        <v>1431</v>
      </c>
      <c r="P88" s="32" t="s">
        <v>255</v>
      </c>
      <c r="T88">
        <v>1</v>
      </c>
      <c r="U88">
        <v>7.3</v>
      </c>
    </row>
    <row r="89" spans="1:21" ht="39" thickBot="1" x14ac:dyDescent="0.3">
      <c r="A89">
        <v>87</v>
      </c>
      <c r="B89" s="4">
        <v>226</v>
      </c>
      <c r="C89" s="12">
        <v>27</v>
      </c>
      <c r="D89" s="12">
        <v>2</v>
      </c>
      <c r="E89" s="15" t="s">
        <v>1048</v>
      </c>
      <c r="G89" s="15" t="s">
        <v>1159</v>
      </c>
      <c r="H89" s="15" t="s">
        <v>1265</v>
      </c>
      <c r="I89" s="25" t="s">
        <v>1373</v>
      </c>
      <c r="J89" s="21" t="s">
        <v>1418</v>
      </c>
      <c r="P89" s="33" t="s">
        <v>255</v>
      </c>
      <c r="T89">
        <v>1</v>
      </c>
      <c r="U89">
        <v>7.3</v>
      </c>
    </row>
    <row r="90" spans="1:21" ht="39" thickBot="1" x14ac:dyDescent="0.3">
      <c r="A90">
        <v>88</v>
      </c>
      <c r="B90" s="4">
        <v>227</v>
      </c>
      <c r="C90" s="12">
        <v>27</v>
      </c>
      <c r="D90" s="12">
        <v>2</v>
      </c>
      <c r="E90" s="16" t="s">
        <v>1049</v>
      </c>
      <c r="G90" s="16" t="s">
        <v>1160</v>
      </c>
      <c r="H90" s="22" t="s">
        <v>1266</v>
      </c>
      <c r="I90" s="21" t="s">
        <v>1374</v>
      </c>
      <c r="J90" s="18" t="s">
        <v>1449</v>
      </c>
      <c r="P90" s="32" t="s">
        <v>189</v>
      </c>
      <c r="T90">
        <v>1</v>
      </c>
      <c r="U90">
        <v>8.1</v>
      </c>
    </row>
    <row r="91" spans="1:21" ht="39" thickBot="1" x14ac:dyDescent="0.3">
      <c r="A91">
        <v>89</v>
      </c>
      <c r="B91" s="4">
        <v>228</v>
      </c>
      <c r="C91" s="12">
        <v>27</v>
      </c>
      <c r="D91" s="12">
        <v>2</v>
      </c>
      <c r="E91" s="15" t="s">
        <v>1050</v>
      </c>
      <c r="G91" s="17" t="s">
        <v>1161</v>
      </c>
      <c r="H91" s="21" t="s">
        <v>1267</v>
      </c>
      <c r="I91" s="28" t="s">
        <v>1375</v>
      </c>
      <c r="J91" s="15" t="s">
        <v>1450</v>
      </c>
      <c r="P91" s="33" t="s">
        <v>183</v>
      </c>
      <c r="T91">
        <v>1</v>
      </c>
      <c r="U91">
        <v>8.1</v>
      </c>
    </row>
    <row r="92" spans="1:21" ht="51.75" thickBot="1" x14ac:dyDescent="0.3">
      <c r="A92">
        <v>90</v>
      </c>
      <c r="B92" s="4">
        <v>229</v>
      </c>
      <c r="C92" s="12">
        <v>27</v>
      </c>
      <c r="D92" s="12">
        <v>2</v>
      </c>
      <c r="E92" s="16" t="s">
        <v>1051</v>
      </c>
      <c r="G92" s="16" t="s">
        <v>1162</v>
      </c>
      <c r="H92" s="14" t="s">
        <v>1268</v>
      </c>
      <c r="I92" s="21" t="s">
        <v>1376</v>
      </c>
      <c r="J92" s="18" t="s">
        <v>1451</v>
      </c>
      <c r="P92" s="32" t="s">
        <v>189</v>
      </c>
      <c r="T92">
        <v>1</v>
      </c>
      <c r="U92">
        <v>8.1</v>
      </c>
    </row>
    <row r="93" spans="1:21" ht="39" thickBot="1" x14ac:dyDescent="0.3">
      <c r="A93">
        <v>91</v>
      </c>
      <c r="B93" s="4">
        <v>230</v>
      </c>
      <c r="C93" s="12">
        <v>27</v>
      </c>
      <c r="D93" s="12">
        <v>2</v>
      </c>
      <c r="E93" s="15" t="s">
        <v>1052</v>
      </c>
      <c r="G93" s="15" t="s">
        <v>1163</v>
      </c>
      <c r="H93" s="17" t="s">
        <v>1269</v>
      </c>
      <c r="I93" s="21" t="s">
        <v>1377</v>
      </c>
      <c r="J93" s="28" t="s">
        <v>961</v>
      </c>
      <c r="P93" s="33" t="s">
        <v>189</v>
      </c>
      <c r="T93">
        <v>1</v>
      </c>
      <c r="U93">
        <v>8.1999999999999993</v>
      </c>
    </row>
    <row r="94" spans="1:21" ht="39" thickBot="1" x14ac:dyDescent="0.3">
      <c r="A94">
        <v>92</v>
      </c>
      <c r="B94" s="4">
        <v>231</v>
      </c>
      <c r="C94" s="12">
        <v>27</v>
      </c>
      <c r="D94" s="12">
        <v>2</v>
      </c>
      <c r="E94" s="16" t="s">
        <v>1053</v>
      </c>
      <c r="G94" s="24" t="s">
        <v>1085</v>
      </c>
      <c r="H94" s="16" t="s">
        <v>1270</v>
      </c>
      <c r="I94" s="14" t="s">
        <v>1378</v>
      </c>
      <c r="J94" s="21" t="s">
        <v>1412</v>
      </c>
      <c r="P94" s="32" t="s">
        <v>255</v>
      </c>
      <c r="T94">
        <v>1</v>
      </c>
      <c r="U94">
        <v>8.1999999999999993</v>
      </c>
    </row>
    <row r="95" spans="1:21" ht="39" thickBot="1" x14ac:dyDescent="0.3">
      <c r="A95">
        <v>93</v>
      </c>
      <c r="B95" s="4">
        <v>232</v>
      </c>
      <c r="C95" s="12">
        <v>27</v>
      </c>
      <c r="D95" s="12">
        <v>2</v>
      </c>
      <c r="E95" s="17" t="s">
        <v>1054</v>
      </c>
      <c r="G95" s="21" t="s">
        <v>1164</v>
      </c>
      <c r="H95" s="19" t="s">
        <v>1236</v>
      </c>
      <c r="I95" s="15" t="s">
        <v>1379</v>
      </c>
      <c r="J95" s="23" t="s">
        <v>1413</v>
      </c>
      <c r="P95" s="33" t="s">
        <v>207</v>
      </c>
      <c r="T95">
        <v>1</v>
      </c>
      <c r="U95">
        <v>8.1999999999999993</v>
      </c>
    </row>
    <row r="96" spans="1:21" ht="39" thickBot="1" x14ac:dyDescent="0.3">
      <c r="A96">
        <v>94</v>
      </c>
      <c r="B96" s="4">
        <v>233</v>
      </c>
      <c r="C96" s="12">
        <v>27</v>
      </c>
      <c r="D96" s="12">
        <v>2</v>
      </c>
      <c r="E96" s="16" t="s">
        <v>1055</v>
      </c>
      <c r="G96" s="16" t="s">
        <v>1165</v>
      </c>
      <c r="H96" s="24" t="s">
        <v>1271</v>
      </c>
      <c r="I96" s="14" t="s">
        <v>1380</v>
      </c>
      <c r="J96" s="21" t="s">
        <v>1413</v>
      </c>
      <c r="P96" s="32" t="s">
        <v>255</v>
      </c>
      <c r="T96">
        <v>1</v>
      </c>
      <c r="U96">
        <v>8.3000000000000007</v>
      </c>
    </row>
    <row r="97" spans="1:21" ht="39" thickBot="1" x14ac:dyDescent="0.3">
      <c r="A97">
        <v>95</v>
      </c>
      <c r="B97" s="4">
        <v>234</v>
      </c>
      <c r="C97" s="12">
        <v>27</v>
      </c>
      <c r="D97" s="12">
        <v>2</v>
      </c>
      <c r="E97" s="15" t="s">
        <v>1056</v>
      </c>
      <c r="G97" s="17" t="s">
        <v>1166</v>
      </c>
      <c r="H97" s="21" t="s">
        <v>1272</v>
      </c>
      <c r="I97" s="19" t="s">
        <v>1381</v>
      </c>
      <c r="J97" s="15" t="s">
        <v>1413</v>
      </c>
      <c r="P97" s="33" t="s">
        <v>183</v>
      </c>
      <c r="T97">
        <v>1</v>
      </c>
      <c r="U97">
        <v>8.3000000000000007</v>
      </c>
    </row>
    <row r="98" spans="1:21" ht="15.75" thickBot="1" x14ac:dyDescent="0.3">
      <c r="A98">
        <v>96</v>
      </c>
      <c r="B98" s="4">
        <v>235</v>
      </c>
      <c r="C98" s="12">
        <v>27</v>
      </c>
      <c r="D98" s="12">
        <v>2</v>
      </c>
      <c r="E98" s="16" t="s">
        <v>1057</v>
      </c>
      <c r="G98" s="22" t="s">
        <v>1167</v>
      </c>
      <c r="H98" s="21" t="s">
        <v>1273</v>
      </c>
      <c r="I98" s="18" t="s">
        <v>1382</v>
      </c>
      <c r="J98" s="16" t="s">
        <v>961</v>
      </c>
      <c r="P98" s="32" t="s">
        <v>183</v>
      </c>
      <c r="T98">
        <v>1</v>
      </c>
      <c r="U98">
        <v>8.3000000000000007</v>
      </c>
    </row>
    <row r="99" spans="1:21" ht="102.75" thickBot="1" x14ac:dyDescent="0.3">
      <c r="A99">
        <v>97</v>
      </c>
      <c r="B99" s="4">
        <v>236</v>
      </c>
      <c r="C99" s="12">
        <v>27</v>
      </c>
      <c r="D99" s="12">
        <v>2</v>
      </c>
      <c r="E99" s="17" t="s">
        <v>1058</v>
      </c>
      <c r="G99" s="21" t="s">
        <v>1168</v>
      </c>
      <c r="H99" s="28" t="s">
        <v>1274</v>
      </c>
      <c r="I99" s="15" t="s">
        <v>1383</v>
      </c>
      <c r="J99" s="15" t="s">
        <v>1452</v>
      </c>
      <c r="P99" s="33" t="s">
        <v>207</v>
      </c>
      <c r="T99">
        <v>1</v>
      </c>
      <c r="U99">
        <v>8.4</v>
      </c>
    </row>
    <row r="100" spans="1:21" ht="77.25" thickBot="1" x14ac:dyDescent="0.3">
      <c r="A100">
        <v>98</v>
      </c>
      <c r="B100" s="4">
        <v>237</v>
      </c>
      <c r="C100" s="12">
        <v>27</v>
      </c>
      <c r="D100" s="12">
        <v>2</v>
      </c>
      <c r="E100" s="16" t="s">
        <v>1059</v>
      </c>
      <c r="G100" s="14" t="s">
        <v>1169</v>
      </c>
      <c r="H100" s="21" t="s">
        <v>1275</v>
      </c>
      <c r="I100" s="27" t="s">
        <v>1384</v>
      </c>
      <c r="J100" s="16" t="s">
        <v>1453</v>
      </c>
      <c r="P100" s="32" t="s">
        <v>183</v>
      </c>
      <c r="T100">
        <v>1</v>
      </c>
      <c r="U100">
        <v>8.4</v>
      </c>
    </row>
    <row r="101" spans="1:21" ht="51.75" thickBot="1" x14ac:dyDescent="0.3">
      <c r="A101">
        <v>99</v>
      </c>
      <c r="B101" s="4">
        <v>238</v>
      </c>
      <c r="C101" s="12">
        <v>27</v>
      </c>
      <c r="D101" s="12">
        <v>2</v>
      </c>
      <c r="E101" s="15" t="s">
        <v>1060</v>
      </c>
      <c r="G101" s="15" t="s">
        <v>1170</v>
      </c>
      <c r="H101" s="17" t="s">
        <v>1276</v>
      </c>
      <c r="I101" s="21" t="s">
        <v>1385</v>
      </c>
      <c r="J101" s="19" t="s">
        <v>1454</v>
      </c>
      <c r="P101" s="33" t="s">
        <v>189</v>
      </c>
      <c r="T101">
        <v>1</v>
      </c>
      <c r="U101">
        <v>8.4</v>
      </c>
    </row>
    <row r="102" spans="1:21" ht="39" thickBot="1" x14ac:dyDescent="0.3">
      <c r="A102">
        <v>100</v>
      </c>
      <c r="B102" s="4">
        <v>239</v>
      </c>
      <c r="C102" s="12">
        <v>27</v>
      </c>
      <c r="D102" s="12">
        <v>2</v>
      </c>
      <c r="E102" s="16" t="s">
        <v>1061</v>
      </c>
      <c r="G102" s="24" t="s">
        <v>1171</v>
      </c>
      <c r="H102" s="14" t="s">
        <v>1277</v>
      </c>
      <c r="I102" s="21" t="s">
        <v>1386</v>
      </c>
      <c r="J102" s="18" t="s">
        <v>1455</v>
      </c>
      <c r="P102" s="32" t="s">
        <v>189</v>
      </c>
      <c r="T102">
        <v>1</v>
      </c>
      <c r="U102">
        <v>8.5</v>
      </c>
    </row>
    <row r="103" spans="1:21" ht="39" thickBot="1" x14ac:dyDescent="0.3">
      <c r="A103">
        <v>101</v>
      </c>
      <c r="B103" s="4">
        <v>240</v>
      </c>
      <c r="C103" s="12">
        <v>27</v>
      </c>
      <c r="D103" s="12">
        <v>2</v>
      </c>
      <c r="E103" s="17" t="s">
        <v>1062</v>
      </c>
      <c r="G103" s="21" t="s">
        <v>1172</v>
      </c>
      <c r="H103" s="19" t="s">
        <v>1277</v>
      </c>
      <c r="I103" s="15" t="s">
        <v>1387</v>
      </c>
      <c r="J103" s="23" t="s">
        <v>1455</v>
      </c>
      <c r="P103" s="33" t="s">
        <v>207</v>
      </c>
      <c r="T103">
        <v>1</v>
      </c>
      <c r="U103">
        <v>8.5</v>
      </c>
    </row>
    <row r="104" spans="1:21" ht="26.25" thickBot="1" x14ac:dyDescent="0.3">
      <c r="A104">
        <v>102</v>
      </c>
      <c r="B104" s="4">
        <v>241</v>
      </c>
      <c r="C104" s="12">
        <v>27</v>
      </c>
      <c r="D104" s="12">
        <v>2</v>
      </c>
      <c r="E104" s="16" t="s">
        <v>1063</v>
      </c>
      <c r="G104" s="16" t="s">
        <v>1173</v>
      </c>
      <c r="H104" s="24" t="s">
        <v>1278</v>
      </c>
      <c r="I104" s="14" t="s">
        <v>1388</v>
      </c>
      <c r="J104" s="21" t="s">
        <v>1456</v>
      </c>
      <c r="P104" s="32" t="s">
        <v>255</v>
      </c>
      <c r="T104">
        <v>1</v>
      </c>
      <c r="U104">
        <v>8.5</v>
      </c>
    </row>
    <row r="105" spans="1:21" ht="26.25" thickBot="1" x14ac:dyDescent="0.3">
      <c r="A105">
        <v>103</v>
      </c>
      <c r="B105" s="4">
        <v>242</v>
      </c>
      <c r="C105" s="12">
        <v>27</v>
      </c>
      <c r="D105" s="12">
        <v>2</v>
      </c>
      <c r="E105" s="15" t="s">
        <v>1064</v>
      </c>
      <c r="G105" s="17" t="s">
        <v>1174</v>
      </c>
      <c r="H105" s="21" t="s">
        <v>1225</v>
      </c>
      <c r="I105" s="19" t="s">
        <v>1389</v>
      </c>
      <c r="J105" s="23" t="s">
        <v>1457</v>
      </c>
      <c r="P105" s="33" t="s">
        <v>183</v>
      </c>
      <c r="T105">
        <v>1</v>
      </c>
      <c r="U105">
        <v>9.1</v>
      </c>
    </row>
    <row r="106" spans="1:21" ht="26.25" thickBot="1" x14ac:dyDescent="0.3">
      <c r="A106">
        <v>104</v>
      </c>
      <c r="B106" s="4">
        <v>243</v>
      </c>
      <c r="C106" s="12">
        <v>27</v>
      </c>
      <c r="D106" s="12">
        <v>2</v>
      </c>
      <c r="E106" s="16" t="s">
        <v>1065</v>
      </c>
      <c r="G106" s="16" t="s">
        <v>1119</v>
      </c>
      <c r="H106" s="16" t="s">
        <v>1279</v>
      </c>
      <c r="I106" s="14" t="s">
        <v>1389</v>
      </c>
      <c r="J106" s="21" t="s">
        <v>1457</v>
      </c>
      <c r="P106" s="32" t="s">
        <v>255</v>
      </c>
      <c r="T106">
        <v>1</v>
      </c>
      <c r="U106">
        <v>9.1</v>
      </c>
    </row>
    <row r="107" spans="1:21" ht="26.25" thickBot="1" x14ac:dyDescent="0.3">
      <c r="A107">
        <v>105</v>
      </c>
      <c r="B107" s="4">
        <v>244</v>
      </c>
      <c r="C107" s="12">
        <v>27</v>
      </c>
      <c r="D107" s="12">
        <v>2</v>
      </c>
      <c r="E107" s="15" t="s">
        <v>1066</v>
      </c>
      <c r="G107" s="15" t="s">
        <v>1119</v>
      </c>
      <c r="H107" s="15" t="s">
        <v>1279</v>
      </c>
      <c r="I107" s="17" t="s">
        <v>1389</v>
      </c>
      <c r="J107" s="21" t="s">
        <v>1457</v>
      </c>
      <c r="P107" s="33" t="s">
        <v>255</v>
      </c>
      <c r="T107">
        <v>1</v>
      </c>
      <c r="U107">
        <v>9.1</v>
      </c>
    </row>
    <row r="108" spans="1:21" ht="26.25" thickBot="1" x14ac:dyDescent="0.3">
      <c r="A108">
        <v>106</v>
      </c>
      <c r="B108" s="4">
        <v>245</v>
      </c>
      <c r="C108" s="12">
        <v>27</v>
      </c>
      <c r="D108" s="12">
        <v>2</v>
      </c>
      <c r="E108" s="16" t="s">
        <v>1067</v>
      </c>
      <c r="G108" s="16" t="s">
        <v>1175</v>
      </c>
      <c r="H108" s="16" t="s">
        <v>1280</v>
      </c>
      <c r="I108" s="14" t="s">
        <v>1390</v>
      </c>
      <c r="J108" s="21" t="s">
        <v>1448</v>
      </c>
      <c r="P108" s="32" t="s">
        <v>255</v>
      </c>
      <c r="T108">
        <v>1</v>
      </c>
      <c r="U108">
        <v>9.1999999999999993</v>
      </c>
    </row>
    <row r="109" spans="1:21" ht="51.75" thickBot="1" x14ac:dyDescent="0.3">
      <c r="A109">
        <v>107</v>
      </c>
      <c r="B109" s="4">
        <v>246</v>
      </c>
      <c r="C109" s="12">
        <v>27</v>
      </c>
      <c r="D109" s="12">
        <v>2</v>
      </c>
      <c r="E109" s="15" t="s">
        <v>1068</v>
      </c>
      <c r="G109" s="23" t="s">
        <v>1176</v>
      </c>
      <c r="H109" s="15" t="s">
        <v>1281</v>
      </c>
      <c r="I109" s="17" t="s">
        <v>1391</v>
      </c>
      <c r="J109" s="21" t="s">
        <v>1458</v>
      </c>
      <c r="P109" s="33" t="s">
        <v>255</v>
      </c>
      <c r="T109">
        <v>1</v>
      </c>
      <c r="U109">
        <v>9.1999999999999993</v>
      </c>
    </row>
    <row r="110" spans="1:21" ht="51.75" thickBot="1" x14ac:dyDescent="0.3">
      <c r="A110">
        <v>108</v>
      </c>
      <c r="B110" s="4">
        <v>247</v>
      </c>
      <c r="C110" s="12">
        <v>27</v>
      </c>
      <c r="D110" s="12">
        <v>2</v>
      </c>
      <c r="E110" s="14" t="s">
        <v>1069</v>
      </c>
      <c r="G110" s="21" t="s">
        <v>1177</v>
      </c>
      <c r="H110" s="18" t="s">
        <v>1282</v>
      </c>
      <c r="I110" s="24" t="s">
        <v>1392</v>
      </c>
      <c r="J110" s="16" t="s">
        <v>1453</v>
      </c>
      <c r="P110" s="32" t="s">
        <v>207</v>
      </c>
      <c r="T110">
        <v>1</v>
      </c>
      <c r="U110">
        <v>9.1999999999999993</v>
      </c>
    </row>
    <row r="111" spans="1:21" ht="64.5" thickBot="1" x14ac:dyDescent="0.3">
      <c r="A111">
        <v>109</v>
      </c>
      <c r="B111" s="4">
        <v>248</v>
      </c>
      <c r="C111" s="12">
        <v>27</v>
      </c>
      <c r="D111" s="12">
        <v>2</v>
      </c>
      <c r="E111" s="15" t="s">
        <v>1070</v>
      </c>
      <c r="G111" s="15" t="s">
        <v>1178</v>
      </c>
      <c r="H111" s="17" t="s">
        <v>1283</v>
      </c>
      <c r="I111" s="21" t="s">
        <v>1393</v>
      </c>
      <c r="J111" s="19" t="s">
        <v>1459</v>
      </c>
      <c r="P111" s="33" t="s">
        <v>189</v>
      </c>
      <c r="T111">
        <v>1</v>
      </c>
      <c r="U111">
        <v>9.3000000000000007</v>
      </c>
    </row>
    <row r="112" spans="1:21" ht="26.25" thickBot="1" x14ac:dyDescent="0.3">
      <c r="A112">
        <v>110</v>
      </c>
      <c r="B112" s="4">
        <v>249</v>
      </c>
      <c r="C112" s="12">
        <v>27</v>
      </c>
      <c r="D112" s="12">
        <v>2</v>
      </c>
      <c r="E112" s="16" t="s">
        <v>1071</v>
      </c>
      <c r="G112" s="16" t="s">
        <v>1179</v>
      </c>
      <c r="H112" s="22" t="s">
        <v>1284</v>
      </c>
      <c r="I112" s="21" t="s">
        <v>1394</v>
      </c>
      <c r="J112" s="18" t="s">
        <v>1410</v>
      </c>
      <c r="P112" s="32" t="s">
        <v>189</v>
      </c>
      <c r="T112">
        <v>1</v>
      </c>
      <c r="U112">
        <v>9.3000000000000007</v>
      </c>
    </row>
    <row r="113" spans="1:31" ht="15.75" thickBot="1" x14ac:dyDescent="0.3">
      <c r="A113">
        <v>111</v>
      </c>
      <c r="B113" s="4">
        <v>250</v>
      </c>
      <c r="C113" s="12">
        <v>27</v>
      </c>
      <c r="D113" s="12">
        <v>2</v>
      </c>
      <c r="E113" s="15" t="s">
        <v>1072</v>
      </c>
      <c r="G113" s="25" t="s">
        <v>1180</v>
      </c>
      <c r="H113" s="21" t="s">
        <v>1285</v>
      </c>
      <c r="I113" s="19" t="s">
        <v>1395</v>
      </c>
      <c r="J113" s="15" t="s">
        <v>1460</v>
      </c>
      <c r="P113" s="33" t="s">
        <v>183</v>
      </c>
      <c r="T113">
        <v>1</v>
      </c>
      <c r="U113">
        <v>9.3000000000000007</v>
      </c>
    </row>
    <row r="114" spans="1:31" ht="26.25" thickBot="1" x14ac:dyDescent="0.3">
      <c r="A114">
        <v>112</v>
      </c>
      <c r="B114" s="4">
        <v>251</v>
      </c>
      <c r="C114" s="12">
        <v>27</v>
      </c>
      <c r="D114" s="12">
        <v>2</v>
      </c>
      <c r="E114" s="14" t="s">
        <v>1073</v>
      </c>
      <c r="G114" s="21" t="s">
        <v>1181</v>
      </c>
      <c r="H114" s="18" t="s">
        <v>1286</v>
      </c>
      <c r="I114" s="24" t="s">
        <v>1396</v>
      </c>
      <c r="J114" s="16" t="s">
        <v>961</v>
      </c>
      <c r="P114" s="32" t="s">
        <v>207</v>
      </c>
      <c r="T114">
        <v>1</v>
      </c>
      <c r="U114">
        <v>10.1</v>
      </c>
    </row>
    <row r="115" spans="1:31" ht="26.25" thickBot="1" x14ac:dyDescent="0.3">
      <c r="A115">
        <v>113</v>
      </c>
      <c r="B115" s="4">
        <v>252</v>
      </c>
      <c r="C115" s="12">
        <v>27</v>
      </c>
      <c r="D115" s="12">
        <v>2</v>
      </c>
      <c r="E115" s="15" t="s">
        <v>1074</v>
      </c>
      <c r="G115" s="15" t="s">
        <v>1182</v>
      </c>
      <c r="H115" s="25" t="s">
        <v>1287</v>
      </c>
      <c r="I115" s="21" t="s">
        <v>1397</v>
      </c>
      <c r="J115" s="19" t="s">
        <v>961</v>
      </c>
      <c r="P115" s="33" t="s">
        <v>189</v>
      </c>
      <c r="T115">
        <v>1</v>
      </c>
      <c r="U115">
        <v>10.1</v>
      </c>
    </row>
    <row r="116" spans="1:31" ht="26.25" thickBot="1" x14ac:dyDescent="0.3">
      <c r="A116">
        <v>114</v>
      </c>
      <c r="B116" s="4">
        <v>253</v>
      </c>
      <c r="C116" s="12">
        <v>27</v>
      </c>
      <c r="D116" s="12">
        <v>2</v>
      </c>
      <c r="E116" s="16" t="s">
        <v>1075</v>
      </c>
      <c r="G116" s="14" t="s">
        <v>1182</v>
      </c>
      <c r="H116" s="21" t="s">
        <v>1288</v>
      </c>
      <c r="I116" s="18" t="s">
        <v>1398</v>
      </c>
      <c r="J116" s="24" t="s">
        <v>1410</v>
      </c>
      <c r="P116" s="32" t="s">
        <v>183</v>
      </c>
      <c r="T116">
        <v>1</v>
      </c>
      <c r="U116">
        <v>10.1</v>
      </c>
    </row>
    <row r="117" spans="1:31" ht="15.75" thickBot="1" x14ac:dyDescent="0.3">
      <c r="A117">
        <v>115</v>
      </c>
      <c r="B117" s="4">
        <v>254</v>
      </c>
      <c r="C117" s="12">
        <v>27</v>
      </c>
      <c r="D117" s="12">
        <v>2</v>
      </c>
      <c r="E117" s="15" t="s">
        <v>1076</v>
      </c>
      <c r="G117" s="23" t="s">
        <v>1183</v>
      </c>
      <c r="H117" s="15" t="s">
        <v>1289</v>
      </c>
      <c r="I117" s="17" t="s">
        <v>1399</v>
      </c>
      <c r="J117" s="21" t="s">
        <v>1461</v>
      </c>
      <c r="P117" s="33" t="s">
        <v>255</v>
      </c>
      <c r="T117">
        <v>1</v>
      </c>
      <c r="U117">
        <v>10.199999999999999</v>
      </c>
    </row>
    <row r="118" spans="1:31" ht="15.75" thickBot="1" x14ac:dyDescent="0.3">
      <c r="A118">
        <v>116</v>
      </c>
      <c r="B118" s="4">
        <v>255</v>
      </c>
      <c r="C118" s="12">
        <v>27</v>
      </c>
      <c r="D118" s="12">
        <v>2</v>
      </c>
      <c r="E118" s="14" t="s">
        <v>1077</v>
      </c>
      <c r="G118" s="21" t="s">
        <v>1184</v>
      </c>
      <c r="H118" s="18" t="s">
        <v>1290</v>
      </c>
      <c r="I118" s="16" t="s">
        <v>1400</v>
      </c>
      <c r="J118" s="16" t="s">
        <v>1462</v>
      </c>
      <c r="P118" s="32" t="s">
        <v>207</v>
      </c>
      <c r="T118">
        <v>1</v>
      </c>
      <c r="U118">
        <v>10.199999999999999</v>
      </c>
    </row>
    <row r="119" spans="1:31" ht="26.25" thickBot="1" x14ac:dyDescent="0.3">
      <c r="A119">
        <v>117</v>
      </c>
      <c r="B119" s="4">
        <v>256</v>
      </c>
      <c r="C119" s="12">
        <v>27</v>
      </c>
      <c r="D119" s="12">
        <v>2</v>
      </c>
      <c r="E119" s="17" t="s">
        <v>1078</v>
      </c>
      <c r="G119" s="21" t="s">
        <v>1185</v>
      </c>
      <c r="H119" s="19" t="s">
        <v>1291</v>
      </c>
      <c r="I119" s="15" t="s">
        <v>1399</v>
      </c>
      <c r="J119" s="23" t="s">
        <v>1463</v>
      </c>
      <c r="P119" s="33" t="s">
        <v>207</v>
      </c>
      <c r="T119">
        <v>1</v>
      </c>
      <c r="U119">
        <v>10.199999999999999</v>
      </c>
    </row>
    <row r="120" spans="1:31" ht="26.25" thickBot="1" x14ac:dyDescent="0.3">
      <c r="A120">
        <v>118</v>
      </c>
      <c r="B120" s="4">
        <v>257</v>
      </c>
      <c r="C120" s="12">
        <v>27</v>
      </c>
      <c r="D120" s="12">
        <v>2</v>
      </c>
      <c r="E120" s="16" t="s">
        <v>1079</v>
      </c>
      <c r="G120" s="16" t="s">
        <v>1186</v>
      </c>
      <c r="H120" s="24" t="s">
        <v>1244</v>
      </c>
      <c r="I120" s="14" t="s">
        <v>1401</v>
      </c>
      <c r="J120" s="21" t="s">
        <v>1408</v>
      </c>
      <c r="P120" s="32" t="s">
        <v>255</v>
      </c>
      <c r="T120">
        <v>1</v>
      </c>
      <c r="U120">
        <v>10.3</v>
      </c>
    </row>
    <row r="121" spans="1:31" ht="15.75" thickBot="1" x14ac:dyDescent="0.3">
      <c r="A121">
        <v>119</v>
      </c>
      <c r="B121" s="4">
        <v>258</v>
      </c>
      <c r="C121" s="12">
        <v>27</v>
      </c>
      <c r="D121" s="12">
        <v>2</v>
      </c>
      <c r="E121" s="15" t="s">
        <v>1080</v>
      </c>
      <c r="G121" s="17" t="s">
        <v>1187</v>
      </c>
      <c r="H121" s="21" t="s">
        <v>1292</v>
      </c>
      <c r="I121" s="19" t="s">
        <v>1402</v>
      </c>
      <c r="J121" s="23" t="s">
        <v>961</v>
      </c>
      <c r="P121" s="33" t="s">
        <v>183</v>
      </c>
      <c r="T121">
        <v>1</v>
      </c>
      <c r="U121">
        <v>10.3</v>
      </c>
    </row>
    <row r="122" spans="1:31" ht="39" thickBot="1" x14ac:dyDescent="0.3">
      <c r="A122">
        <v>120</v>
      </c>
      <c r="B122" s="4">
        <v>259</v>
      </c>
      <c r="C122" s="12">
        <v>27</v>
      </c>
      <c r="D122" s="12">
        <v>2</v>
      </c>
      <c r="E122" s="16" t="s">
        <v>1081</v>
      </c>
      <c r="G122" s="16" t="s">
        <v>1188</v>
      </c>
      <c r="H122" s="16" t="s">
        <v>1293</v>
      </c>
      <c r="I122" s="14" t="s">
        <v>1403</v>
      </c>
      <c r="J122" s="21" t="s">
        <v>1412</v>
      </c>
      <c r="P122" s="32" t="s">
        <v>255</v>
      </c>
      <c r="T122">
        <v>1</v>
      </c>
      <c r="U122">
        <v>10.3</v>
      </c>
    </row>
    <row r="124" spans="1:31" ht="15" customHeight="1" x14ac:dyDescent="0.25">
      <c r="A124">
        <v>1</v>
      </c>
      <c r="B124" s="11" t="str">
        <f>"INSERT INTO PREGUNTAS ("&amp;$B$2&amp;","&amp;$C$2&amp;","&amp;$D$2&amp;","&amp;$E$2&amp;","&amp;$G$2&amp;","&amp;$H$2&amp;","&amp;$I$2&amp;","&amp;$J$2&amp;","&amp;$P$2&amp;","&amp;$T$2&amp;","&amp;$U$2&amp;") VALUES ("&amp;B3&amp;","&amp;C3&amp;","&amp;D3&amp;", '"&amp;E3&amp;"', '"&amp;G3&amp;"', '"&amp;H3&amp;"', '"&amp;I3&amp;"', '"&amp;J3&amp;"', '"&amp;P3&amp;"', '"&amp;T3&amp;"', '"&amp;U3&amp;"');"</f>
        <v>INSERT INTO PREGUNTAS (ID_PREGUNTA,ID_SUBTEMA_TOPICO,ID_ORIGEN,PREGUNTA,RESPUESTA_A,RESPUESTA_B,RESPUESTA_C,RESPUESTA_D,RESPUESTA_CORRECTA,ID_MATERIA,UNIDAD) VALUES (140,27,2, 'Al tipo de protesta con fines de activismo político, social o económico en forma de ataques cibernéticos. (Anonymous, Wikileaks…), se la denomina:', 'A.- DDOS.', 'B.- Doxxing.', 'C.- Hacktivismo.', 'D.- Ninguna de las anteriores.', 'C', '1', '1.2');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ht="15" customHeight="1" x14ac:dyDescent="0.25">
      <c r="A125">
        <v>2</v>
      </c>
      <c r="B125" s="11" t="str">
        <f t="shared" ref="B125:B188" si="0">"INSERT INTO PREGUNTAS ("&amp;$B$2&amp;","&amp;$C$2&amp;","&amp;$D$2&amp;","&amp;$E$2&amp;","&amp;$G$2&amp;","&amp;$H$2&amp;","&amp;$I$2&amp;","&amp;$J$2&amp;","&amp;$P$2&amp;","&amp;$T$2&amp;","&amp;$U$2&amp;") VALUES ("&amp;B4&amp;","&amp;C4&amp;","&amp;D4&amp;", '"&amp;E4&amp;"', '"&amp;G4&amp;"', '"&amp;H4&amp;"', '"&amp;I4&amp;"', '"&amp;J4&amp;"', '"&amp;P4&amp;"', '"&amp;T4&amp;"', '"&amp;U4&amp;"');"</f>
        <v>INSERT INTO PREGUNTAS (ID_PREGUNTA,ID_SUBTEMA_TOPICO,ID_ORIGEN,PREGUNTA,RESPUESTA_A,RESPUESTA_B,RESPUESTA_C,RESPUESTA_D,RESPUESTA_CORRECTA,ID_MATERIA,UNIDAD) VALUES (141,27,2, '¿Cuál es el ataque relacionado con los actores internos más frecuente?', 'A.- Phishing.', 'B.- DDOS.', 'C.- Troyano', 'D.- Hacktivismo.', 'A', '1', '1.2');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ht="15" customHeight="1" x14ac:dyDescent="0.25">
      <c r="A126">
        <v>3</v>
      </c>
      <c r="B126" s="11" t="str">
        <f t="shared" si="0"/>
        <v>INSERT INTO PREGUNTAS (ID_PREGUNTA,ID_SUBTEMA_TOPICO,ID_ORIGEN,PREGUNTA,RESPUESTA_A,RESPUESTA_B,RESPUESTA_C,RESPUESTA_D,RESPUESTA_CORRECTA,ID_MATERIA,UNIDAD) VALUES (142,27,2, 'Las APTs son características de:', 'A.- Actores internos.', 'B.- Actores estado.', 'C.- Hacktivistas.', 'D.- Ninguna de las anteriores.', 'B', '1', '1.2');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ht="15" customHeight="1" x14ac:dyDescent="0.25">
      <c r="A127">
        <v>4</v>
      </c>
      <c r="B127" s="11" t="str">
        <f t="shared" si="0"/>
        <v>INSERT INTO PREGUNTAS (ID_PREGUNTA,ID_SUBTEMA_TOPICO,ID_ORIGEN,PREGUNTA,RESPUESTA_A,RESPUESTA_B,RESPUESTA_C,RESPUESTA_D,RESPUESTA_CORRECTA,ID_MATERIA,UNIDAD) VALUES (143,27,2, '¿Cómo se puede asegurar la integridad de los sistemas?', 'A.- Validación de entrada.', 'B.- Firma digital avanzada.', 'C.- Autenticación.', 'D.- Ninguna de las anteriores.', 'B', '1', '1.3');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ht="15" customHeight="1" x14ac:dyDescent="0.25">
      <c r="A128">
        <v>5</v>
      </c>
      <c r="B128" s="11" t="str">
        <f t="shared" si="0"/>
        <v>INSERT INTO PREGUNTAS (ID_PREGUNTA,ID_SUBTEMA_TOPICO,ID_ORIGEN,PREGUNTA,RESPUESTA_A,RESPUESTA_B,RESPUESTA_C,RESPUESTA_D,RESPUESTA_CORRECTA,ID_MATERIA,UNIDAD) VALUES (144,27,2, '¿Para qué es necesario un correcto diseño de logging o registro?', 'A.- Para garantizar la trazabilidad.', 'B.- Para garantizar la confidencialidad.', 'C.- Para garantizar la integridad.', 'D.- Para garantizar la disponibilidad.', 'A', '1', '1.3');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ht="15" customHeight="1" x14ac:dyDescent="0.25">
      <c r="A129">
        <v>6</v>
      </c>
      <c r="B129" s="11" t="str">
        <f t="shared" si="0"/>
        <v>INSERT INTO PREGUNTAS (ID_PREGUNTA,ID_SUBTEMA_TOPICO,ID_ORIGEN,PREGUNTA,RESPUESTA_A,RESPUESTA_B,RESPUESTA_C,RESPUESTA_D,RESPUESTA_CORRECTA,ID_MATERIA,UNIDAD) VALUES (145,27,2, 'Proporcionar la prueba de que una determinada transmisión o recepción ha sido realizada, sin que su receptor/transmisor pueda negar que se haya producido, se denomina:', 'A.- Autenticar.', 'B.- Demostrar la identidad.', 'C.- Garantizar la integridad.', 'D.- 
No repudio.', 'D', '1', '1.3');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ht="15" customHeight="1" x14ac:dyDescent="0.25">
      <c r="A130">
        <v>7</v>
      </c>
      <c r="B130" s="11" t="str">
        <f t="shared" si="0"/>
        <v>INSERT INTO PREGUNTAS (ID_PREGUNTA,ID_SUBTEMA_TOPICO,ID_ORIGEN,PREGUNTA,RESPUESTA_A,RESPUESTA_B,RESPUESTA_C,RESPUESTA_D,RESPUESTA_CORRECTA,ID_MATERIA,UNIDAD) VALUES (146,27,2, 'Las descripciones sobre cómo configurar determinados elementos de seguridad para que sean aplicados de manera uniforme en toda la organización se denominan:', 'A.- 
Política de seguridad.', 'B.- 
Directrices.', 'C.- 
Líneas base.', 'D.- Ninguna de las anteriores.', 'C', '1', '1.4');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ht="15" customHeight="1" x14ac:dyDescent="0.25">
      <c r="A131">
        <v>8</v>
      </c>
      <c r="B131" s="11" t="str">
        <f t="shared" si="0"/>
        <v>INSERT INTO PREGUNTAS (ID_PREGUNTA,ID_SUBTEMA_TOPICO,ID_ORIGEN,PREGUNTA,RESPUESTA_A,RESPUESTA_B,RESPUESTA_C,RESPUESTA_D,RESPUESTA_CORRECTA,ID_MATERIA,UNIDAD) VALUES (147,27,2, 'Las descripciones detalladas de los pasos para llevar a cabo una determinada tarea por los usuarios sin dudas se llaman:', 'A.- Procedimientos.', 'B.- Directrices.', 'C.- Líneas base.', 'D.- Ninguna de las anteriores.', 'A', '1', '1.4');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ht="15" customHeight="1" x14ac:dyDescent="0.25">
      <c r="A132">
        <v>9</v>
      </c>
      <c r="B132" s="11" t="str">
        <f t="shared" si="0"/>
        <v>INSERT INTO PREGUNTAS (ID_PREGUNTA,ID_SUBTEMA_TOPICO,ID_ORIGEN,PREGUNTA,RESPUESTA_A,RESPUESTA_B,RESPUESTA_C,RESPUESTA_D,RESPUESTA_CORRECTA,ID_MATERIA,UNIDAD) VALUES (148,27,2, 'Los estándares, directrices y procedimientos son medios para implementar las:', 'A.- Medidas de seguridad.', 'B.- 
Líneas base.', 'C.- Políticas.', 'D.- Las opciones A y C.', 'D', '1', '1.4');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ht="15" customHeight="1" x14ac:dyDescent="0.25">
      <c r="A133">
        <v>10</v>
      </c>
      <c r="B133" s="11" t="str">
        <f t="shared" si="0"/>
        <v>INSERT INTO PREGUNTAS (ID_PREGUNTA,ID_SUBTEMA_TOPICO,ID_ORIGEN,PREGUNTA,RESPUESTA_A,RESPUESTA_B,RESPUESTA_C,RESPUESTA_D,RESPUESTA_CORRECTA,ID_MATERIA,UNIDAD) VALUES (149,27,2, 'La política general de seguridad de una organización:', 'A.- Define el comportamiento apropiado para cada caso.', 'B.- Establece qué herramientas y qué procedimientos son necesarios.', 'C.- Sirve para comunicar un consenso del uso de datos y aplicaciones dentro de la organización.', 'D.- Todas las anteriores son correctas.', 'D', '1', '2.1');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ht="15" customHeight="1" x14ac:dyDescent="0.25">
      <c r="A134">
        <v>11</v>
      </c>
      <c r="B134" s="11" t="str">
        <f t="shared" si="0"/>
        <v>INSERT INTO PREGUNTAS (ID_PREGUNTA,ID_SUBTEMA_TOPICO,ID_ORIGEN,PREGUNTA,RESPUESTA_A,RESPUESTA_B,RESPUESTA_C,RESPUESTA_D,RESPUESTA_CORRECTA,ID_MATERIA,UNIDAD) VALUES (150,27,2, 'Un sistema de detección de intrusiones se usa en la fase de:', 'A.- 
Monitorización.', 'B.- Análisis de vulnerabilidades.', 'C.- Implementación.', 'D.- Monitorización y análisis de vulnerabilidades.', 'A', '1', '2.1');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ht="15" customHeight="1" x14ac:dyDescent="0.25">
      <c r="A135">
        <v>12</v>
      </c>
      <c r="B135" s="11" t="str">
        <f t="shared" si="0"/>
        <v>INSERT INTO PREGUNTAS (ID_PREGUNTA,ID_SUBTEMA_TOPICO,ID_ORIGEN,PREGUNTA,RESPUESTA_A,RESPUESTA_B,RESPUESTA_C,RESPUESTA_D,RESPUESTA_CORRECTA,ID_MATERIA,UNIDAD) VALUES (151,27,2, 'Un cortafuegos de instala en la fase de:', 'A.- Monitorización.', 'B.- Análisis de vulnerabilidades.', 'C.- 
Implementación.', 'D.- Ninguna de las anteriores.', 'C', '1', '2.1');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ht="15" customHeight="1" x14ac:dyDescent="0.25">
      <c r="A136">
        <v>13</v>
      </c>
      <c r="B136" s="11" t="str">
        <f t="shared" si="0"/>
        <v>INSERT INTO PREGUNTAS (ID_PREGUNTA,ID_SUBTEMA_TOPICO,ID_ORIGEN,PREGUNTA,RESPUESTA_A,RESPUESTA_B,RESPUESTA_C,RESPUESTA_D,RESPUESTA_CORRECTA,ID_MATERIA,UNIDAD) VALUES (152,27,2, 'El tipo de norma que estandariza el uso de aspectos específicos del sistema (indican un uso correcto y responsabilidad del usuario y son obligatorias) se denomina:', 'A.- Procedimientos de seguridad.', 'B.- Estándar.', 'C.- Guía de seguridad.', 'D.- 
Ninguna de las anteriores.', 'B', '1', '2.2');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ht="15" customHeight="1" x14ac:dyDescent="0.25">
      <c r="A137">
        <v>14</v>
      </c>
      <c r="B137" s="11" t="str">
        <f t="shared" si="0"/>
        <v>INSERT INTO PREGUNTAS (ID_PREGUNTA,ID_SUBTEMA_TOPICO,ID_ORIGEN,PREGUNTA,RESPUESTA_A,RESPUESTA_B,RESPUESTA_C,RESPUESTA_D,RESPUESTA_CORRECTA,ID_MATERIA,UNIDAD) VALUES (153,27,2, 'El tipo de norma destinada a ayudar a los usuarios a aplicar las medidas de seguridad correctamente al proporcionar un razonamiento donde no se dispone de los procedimientos correctos, se denomina:', 'A.- 
Procedimientos de seguridad.', 'B.- Estándar.', 'C.- Guía de seguridad.', 'D.- Ninguna de las anteriores', 'C', '1', '2.2');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ht="15" customHeight="1" x14ac:dyDescent="0.25">
      <c r="A138">
        <v>15</v>
      </c>
      <c r="B138" s="11" t="str">
        <f t="shared" si="0"/>
        <v>INSERT INTO PREGUNTAS (ID_PREGUNTA,ID_SUBTEMA_TOPICO,ID_ORIGEN,PREGUNTA,RESPUESTA_A,RESPUESTA_B,RESPUESTA_C,RESPUESTA_D,RESPUESTA_CORRECTA,ID_MATERIA,UNIDAD) VALUES (154,27,2, 'El tipo de norma que se ocupa de tareas específicas, mostrando cada paso que se debe realizar y que es muy útil en tareas que son repetitivas, como en un procedimiento de backup y recuperación, se denomina:', 'A.- Procedimientos de seguridad.', 'B.- Estándar.', 'C.- 
Guía de seguridad.', 'D.- Ninguna de las anteriores.', 'A', '1', '2.2');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ht="15" customHeight="1" x14ac:dyDescent="0.25">
      <c r="A139">
        <v>16</v>
      </c>
      <c r="B139" s="11" t="str">
        <f t="shared" si="0"/>
        <v>INSERT INTO PREGUNTAS (ID_PREGUNTA,ID_SUBTEMA_TOPICO,ID_ORIGEN,PREGUNTA,RESPUESTA_A,RESPUESTA_B,RESPUESTA_C,RESPUESTA_D,RESPUESTA_CORRECTA,ID_MATERIA,UNIDAD) VALUES (155,27,2, 'Un sistema de gestión para la seguridad de la información:', 'A.- 
Establece o planifica la seguridad de la información.', 'B.- Opera y mantiene los procesos establecidos para la seguridad de la información.', 'C.- Mide los resultados (monitorización) e indicadores de los distintos procesos de la seguridad de la información.', 'D.- 
Todas las anteriores son correctas.', 'D', '1', '2.3');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ht="15" customHeight="1" x14ac:dyDescent="0.25">
      <c r="A140">
        <v>17</v>
      </c>
      <c r="B140" s="11" t="str">
        <f t="shared" si="0"/>
        <v>INSERT INTO PREGUNTAS (ID_PREGUNTA,ID_SUBTEMA_TOPICO,ID_ORIGEN,PREGUNTA,RESPUESTA_A,RESPUESTA_B,RESPUESTA_C,RESPUESTA_D,RESPUESTA_CORRECTA,ID_MATERIA,UNIDAD) VALUES (156,27,2, '¿Cuál es la actividad más importante en un SGSI?', 'A.- Planificación.', 'B.- Elaborar procedimientos.', 'C.- Análisis y gestión de riesgos.', 'D.- Ninguna de las anteriores.', 'C', '1', '2.3');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ht="15" customHeight="1" x14ac:dyDescent="0.25">
      <c r="A141">
        <v>18</v>
      </c>
      <c r="B141" s="11" t="str">
        <f t="shared" si="0"/>
        <v>INSERT INTO PREGUNTAS (ID_PREGUNTA,ID_SUBTEMA_TOPICO,ID_ORIGEN,PREGUNTA,RESPUESTA_A,RESPUESTA_B,RESPUESTA_C,RESPUESTA_D,RESPUESTA_CORRECTA,ID_MATERIA,UNIDAD) VALUES (157,27,2, 'La declaración de aplicabilidad de salvaguardas es propia de la fase (ISO27001):', 'A.- ACT: Mejora.', 'B.- PLAN: análisis de riesgos.', 'C.- PLAN: tratamiento de los riesgos.', 'D.- Ninguna de las anteriores.', 'C', '1', '2.3');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ht="15" customHeight="1" x14ac:dyDescent="0.25">
      <c r="A142">
        <v>19</v>
      </c>
      <c r="B142" s="11" t="str">
        <f t="shared" si="0"/>
        <v>INSERT INTO PREGUNTAS (ID_PREGUNTA,ID_SUBTEMA_TOPICO,ID_ORIGEN,PREGUNTA,RESPUESTA_A,RESPUESTA_B,RESPUESTA_C,RESPUESTA_D,RESPUESTA_CORRECTA,ID_MATERIA,UNIDAD) VALUES (158,27,2, 'Una profesión puede caracterizarse por el desarrollo de algunos de los siguientes criterios:', 'A.- La creación de un cuerpo organizado de conocimientos.', 'B.- El reconocimiento por parte de los clientes de la autoridad de la profesión.', 'C.- 
La aprobación de la comunidad de la autoridad de la profesión.', 'D.- Todas las anteriores son ciertas.', 'D', '1', '2.4');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ht="15" customHeight="1" x14ac:dyDescent="0.25">
      <c r="A143">
        <v>20</v>
      </c>
      <c r="B143" s="11" t="str">
        <f t="shared" si="0"/>
        <v>INSERT INTO PREGUNTAS (ID_PREGUNTA,ID_SUBTEMA_TOPICO,ID_ORIGEN,PREGUNTA,RESPUESTA_A,RESPUESTA_B,RESPUESTA_C,RESPUESTA_D,RESPUESTA_CORRECTA,ID_MATERIA,UNIDAD) VALUES (159,27,2, 'El hacker ético tiene como elemento interesante el situar:', 'A.- 
La seguridad desde el contexto defensivo.', 'B.- La seguridad desde el contexto del atacante.', 'C.- La seguridad tanto desde el contexto del atacante como desde el contexto de defensa.', 'D.- Todas las anteriores son correctas', 'B', '1', '2.4');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ht="15" customHeight="1" x14ac:dyDescent="0.25">
      <c r="A144">
        <v>21</v>
      </c>
      <c r="B144" s="11" t="str">
        <f t="shared" si="0"/>
        <v>INSERT INTO PREGUNTAS (ID_PREGUNTA,ID_SUBTEMA_TOPICO,ID_ORIGEN,PREGUNTA,RESPUESTA_A,RESPUESTA_B,RESPUESTA_C,RESPUESTA_D,RESPUESTA_CORRECTA,ID_MATERIA,UNIDAD) VALUES (160,27,2, 'Un ejemplo de recopilación de requisitos en el área (que puede considerarse como definitorio) de qué debe saber un profesional de la seguridad de la información sería:', 'A.- El decálogo OWASP.', 'B.- No existen recopilaciones de requisitos adecuadas actualmente.', 'C.- El cuerpo de conocimiento (body of knowledge, BOK) del Consorcio Internacional de Certificación de Seguridad de Sistemas de Información o (ISC)2.', 'D.- Todas las anteriores son correctas', 'C', '1', '2.4');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ht="15" customHeight="1" x14ac:dyDescent="0.25">
      <c r="A145">
        <v>22</v>
      </c>
      <c r="B145" s="11" t="str">
        <f t="shared" si="0"/>
        <v>INSERT INTO PREGUNTAS (ID_PREGUNTA,ID_SUBTEMA_TOPICO,ID_ORIGEN,PREGUNTA,RESPUESTA_A,RESPUESTA_B,RESPUESTA_C,RESPUESTA_D,RESPUESTA_CORRECTA,ID_MATERIA,UNIDAD) VALUES (161,27,2, 'La certificación Certified Information Systems Security Professional (CISSP) es certificada por:', 'A.- SANS.', 'B.- 
ISACA.', 'C.- 
Certification and Accreditation Professional.', 'D.- 
International Information Systems Security Certification Consortium.', 'D', '1', '2.5');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ht="15" customHeight="1" x14ac:dyDescent="0.25">
      <c r="A146">
        <v>23</v>
      </c>
      <c r="B146" s="11" t="str">
        <f t="shared" si="0"/>
        <v>INSERT INTO PREGUNTAS (ID_PREGUNTA,ID_SUBTEMA_TOPICO,ID_ORIGEN,PREGUNTA,RESPUESTA_A,RESPUESTA_B,RESPUESTA_C,RESPUESTA_D,RESPUESTA_CORRECTA,ID_MATERIA,UNIDAD) VALUES (162,27,2, 'La certificación Certified Information Systems Security Professional (CISSP), incluye:', 'A.- 
Information Systems Security Architecture Professional (CISSP-ISSAP).', 'B.- 
Information Systems Security Architecture Professional (CISSP-ISSEP).', 'C.- Information Systems Security Architecture Professional (CISSP-ISMP).', 'D.- 
Todas las anteriores son correctas', 'D', '1', '2.5');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ht="15" customHeight="1" x14ac:dyDescent="0.25">
      <c r="A147">
        <v>24</v>
      </c>
      <c r="B147" s="11" t="str">
        <f t="shared" si="0"/>
        <v>INSERT INTO PREGUNTAS (ID_PREGUNTA,ID_SUBTEMA_TOPICO,ID_ORIGEN,PREGUNTA,RESPUESTA_A,RESPUESTA_B,RESPUESTA_C,RESPUESTA_D,RESPUESTA_CORRECTA,ID_MATERIA,UNIDAD) VALUES (163,27,2, 'Un CISSP está certificado como profesional para:', 'A.- Definir la arquitectura de seguridad.', 'B.- 
Desarrollar software seguro.', 'C.- Realizar auditorías de seguridad exclusivamente.', 'D.- Todas las anteriores son correctas.', 'A', '1', '2.5');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ht="15" customHeight="1" x14ac:dyDescent="0.25">
      <c r="A148">
        <v>25</v>
      </c>
      <c r="B148" s="11" t="str">
        <f t="shared" si="0"/>
        <v>INSERT INTO PREGUNTAS (ID_PREGUNTA,ID_SUBTEMA_TOPICO,ID_ORIGEN,PREGUNTA,RESPUESTA_A,RESPUESTA_B,RESPUESTA_C,RESPUESTA_D,RESPUESTA_CORRECTA,ID_MATERIA,UNIDAD) VALUES (164,27,2, '¿Cuál es una desventaja de OCTAVE?', 'A.- No establece explícitamente la identificación de vulnerabilidades como uno de los pasos de la metodología.', 'B.- La flexibilidad.', 'C.- 
Implica un elevado nivel de conocimientos tecnológicos y técnicos.', 'D.- 
A y B son correctas.', 'C', '1', '3.1');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ht="15" customHeight="1" x14ac:dyDescent="0.25">
      <c r="A149">
        <v>26</v>
      </c>
      <c r="B149" s="11" t="str">
        <f t="shared" si="0"/>
        <v>INSERT INTO PREGUNTAS (ID_PREGUNTA,ID_SUBTEMA_TOPICO,ID_ORIGEN,PREGUNTA,RESPUESTA_A,RESPUESTA_B,RESPUESTA_C,RESPUESTA_D,RESPUESTA_CORRECTA,ID_MATERIA,UNIDAD) VALUES (165,27,2, '¿Cuál es la principal desventaja de MAGERIT?', 'A.- 
No establece explícitamente la identificación de vulnerabilidades como uno de los pasos de la metodología.', 'B.- Facilidad a la hora de traducir una estimación cualitativa a una cuantía económica.', 'C.- 
Implementación.', 'D.- Las opciones A y B son correctas.', 'A', '1', '3.1');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ht="15" customHeight="1" x14ac:dyDescent="0.25">
      <c r="A150">
        <v>27</v>
      </c>
      <c r="B150" s="11" t="str">
        <f t="shared" si="0"/>
        <v>INSERT INTO PREGUNTAS (ID_PREGUNTA,ID_SUBTEMA_TOPICO,ID_ORIGEN,PREGUNTA,RESPUESTA_A,RESPUESTA_B,RESPUESTA_C,RESPUESTA_D,RESPUESTA_CORRECTA,ID_MATERIA,UNIDAD) VALUES (166,27,2, 'MAGERIT está basada en las normas:', 'A.- ISO 27001.', 'B.- ISO 27002.', 'C.- 
ISO 27005.', 'D.- Todas las anteriores son correctas.', 'D', '1', '3.1');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ht="15" customHeight="1" x14ac:dyDescent="0.25">
      <c r="A151">
        <v>28</v>
      </c>
      <c r="B151" s="11" t="str">
        <f t="shared" si="0"/>
        <v>INSERT INTO PREGUNTAS (ID_PREGUNTA,ID_SUBTEMA_TOPICO,ID_ORIGEN,PREGUNTA,RESPUESTA_A,RESPUESTA_B,RESPUESTA_C,RESPUESTA_D,RESPUESTA_CORRECTA,ID_MATERIA,UNIDAD) VALUES (167,27,2, '¿En qué fase se realiza la toma de decisiones?', 'A.- Planificación.', 'B.- Gestión de riesgos.', 'C.- Análisis de riesgos.', 'D.- Todas las anteriores son correctas.', 'B', '1', '3.2');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ht="15" customHeight="1" x14ac:dyDescent="0.25">
      <c r="A152">
        <v>29</v>
      </c>
      <c r="B152" s="11" t="str">
        <f t="shared" si="0"/>
        <v>INSERT INTO PREGUNTAS (ID_PREGUNTA,ID_SUBTEMA_TOPICO,ID_ORIGEN,PREGUNTA,RESPUESTA_A,RESPUESTA_B,RESPUESTA_C,RESPUESTA_D,RESPUESTA_CORRECTA,ID_MATERIA,UNIDAD) VALUES (168,27,2, 'En el comité de dirección existe la figura del:', 'A.- Director del proyecto.', 'B.- Enlace de seguimiento.', 'C.- Interlocutor.', 'D.- Promotor.', 'D', '1', '3.2');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ht="15" customHeight="1" x14ac:dyDescent="0.25">
      <c r="A153">
        <v>30</v>
      </c>
      <c r="B153" s="11" t="str">
        <f t="shared" si="0"/>
        <v>INSERT INTO PREGUNTAS (ID_PREGUNTA,ID_SUBTEMA_TOPICO,ID_ORIGEN,PREGUNTA,RESPUESTA_A,RESPUESTA_B,RESPUESTA_C,RESPUESTA_D,RESPUESTA_CORRECTA,ID_MATERIA,UNIDAD) VALUES (169,27,2, 'El director del proyecto y su equipo planifican toda la realización del proyecto a través de:', 'A.- 
Plan de entrevistas que realizar.', 'B.- Participantes que entrevistar.', 'C.- 
Calendario.', 'D.- Todas las anteriores son correctas.', 'D', '1', '3.2');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spans="1:31" ht="15" customHeight="1" x14ac:dyDescent="0.25">
      <c r="A154">
        <v>31</v>
      </c>
      <c r="B154" s="11" t="str">
        <f t="shared" si="0"/>
        <v>INSERT INTO PREGUNTAS (ID_PREGUNTA,ID_SUBTEMA_TOPICO,ID_ORIGEN,PREGUNTA,RESPUESTA_A,RESPUESTA_B,RESPUESTA_C,RESPUESTA_D,RESPUESTA_CORRECTA,ID_MATERIA,UNIDAD) VALUES (170,27,2, 'El impacto es igual a:', 'A.- Valor por riesgo acumulado.', 'B.- Degradación del valor del activo.', 'C.- Riesgo acumulado por frecuencia.', 'D.- 
Ninguna de las anteriores.', 'B', '1', '3.3');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spans="1:31" ht="15" customHeight="1" x14ac:dyDescent="0.25">
      <c r="A155">
        <v>32</v>
      </c>
      <c r="B155" s="11" t="str">
        <f t="shared" si="0"/>
        <v>INSERT INTO PREGUNTAS (ID_PREGUNTA,ID_SUBTEMA_TOPICO,ID_ORIGEN,PREGUNTA,RESPUESTA_A,RESPUESTA_B,RESPUESTA_C,RESPUESTA_D,RESPUESTA_CORRECTA,ID_MATERIA,UNIDAD) VALUES (171,27,2, 'El actor o agente que es la fuente de peligro por diferentes motivaciones como factores económicos, de prestigio u otros, se denomina:', 'A.- Vulnerabilidad.', 'B.- Activo.', 'C.- Amenaza.', 'D.- 
Ataque.', 'C', '1', '3.3');</v>
      </c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1" ht="15" customHeight="1" x14ac:dyDescent="0.25">
      <c r="A156">
        <v>33</v>
      </c>
      <c r="B156" s="11" t="str">
        <f t="shared" si="0"/>
        <v>INSERT INTO PREGUNTAS (ID_PREGUNTA,ID_SUBTEMA_TOPICO,ID_ORIGEN,PREGUNTA,RESPUESTA_A,RESPUESTA_B,RESPUESTA_C,RESPUESTA_D,RESPUESTA_CORRECTA,ID_MATERIA,UNIDAD) VALUES (172,27,2, '¿Cómo hay que valorar una salvaguarda?', 'A.- Según el coste económico.', 'B.- De forma cualitativa.', 'C.- En base a su eficacia medida en cómo la salvaguarda está implantada.', 'D.- Ninguna de las anteriores.', 'C', '1', '3.3');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spans="1:31" ht="15" customHeight="1" x14ac:dyDescent="0.25">
      <c r="A157">
        <v>34</v>
      </c>
      <c r="B157" s="11" t="str">
        <f t="shared" si="0"/>
        <v>INSERT INTO PREGUNTAS (ID_PREGUNTA,ID_SUBTEMA_TOPICO,ID_ORIGEN,PREGUNTA,RESPUESTA_A,RESPUESTA_B,RESPUESTA_C,RESPUESTA_D,RESPUESTA_CORRECTA,ID_MATERIA,UNIDAD) VALUES (173,27,2, '¿Cuál es la solución ideal para mitigar el riesgo?', 'A.- 
Evitarlo.', 'B.- Reducirlo, mitigarlo. Se limita el impacto.', 'C.- 
Transferirlo a otra organización.', 'D.- Asumirlo. Pasa a contabilizarse como gasto operacional.', 'A', '1', '3.4');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spans="1:31" ht="15" customHeight="1" x14ac:dyDescent="0.25">
      <c r="A158">
        <v>35</v>
      </c>
      <c r="B158" s="11" t="str">
        <f t="shared" si="0"/>
        <v>INSERT INTO PREGUNTAS (ID_PREGUNTA,ID_SUBTEMA_TOPICO,ID_ORIGEN,PREGUNTA,RESPUESTA_A,RESPUESTA_B,RESPUESTA_C,RESPUESTA_D,RESPUESTA_CORRECTA,ID_MATERIA,UNIDAD) VALUES (174,27,2, 'Debe haber un programa de seguridad para:', 'A.- La organización.', 'B.- Cada fase del proyecto.', 'C.- Cada escenario de impacto para dar respuesta.', 'D.- Cada servicio.', 'C', '1', '3.4');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spans="1:31" ht="15" customHeight="1" x14ac:dyDescent="0.25">
      <c r="A159">
        <v>36</v>
      </c>
      <c r="B159" s="11" t="str">
        <f t="shared" si="0"/>
        <v>INSERT INTO PREGUNTAS (ID_PREGUNTA,ID_SUBTEMA_TOPICO,ID_ORIGEN,PREGUNTA,RESPUESTA_A,RESPUESTA_B,RESPUESTA_C,RESPUESTA_D,RESPUESTA_CORRECTA,ID_MATERIA,UNIDAD) VALUES (175,27,2, 'Los aspectos que definir en la gestión del riesgo son:', 'A.- Su objetivo genérico.', 'B.- Las salvaguardas concretas que implantar o mejorar, detallando sus objetivos de calidad, eficacia y eficiencia.', 'C.- 
La relación de escenarios de impacto o riesgos que afronta: activos afectados, tipos de activos, amenazas afrontadas, valoración de activos y amenazas y niveles de impacto y riesgo.', 'D.- Todas las anteriores son correctas.', 'D', '1', '3.4');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spans="1:31" ht="15" customHeight="1" x14ac:dyDescent="0.25">
      <c r="A160">
        <v>37</v>
      </c>
      <c r="B160" s="11" t="str">
        <f t="shared" si="0"/>
        <v>INSERT INTO PREGUNTAS (ID_PREGUNTA,ID_SUBTEMA_TOPICO,ID_ORIGEN,PREGUNTA,RESPUESTA_A,RESPUESTA_B,RESPUESTA_C,RESPUESTA_D,RESPUESTA_CORRECTA,ID_MATERIA,UNIDAD) VALUES (176,27,2, 'La fase de análisis de riesgos con PILAR comporta las siguientes actividades:', 'A.- Se identifican y valoran todos los activos implicados.', 'B.- 
Se identifican y valoran las amenazas del sistema.', 'C.- Se identifica y se valora la efectividad de las salvaguardas.', 'D.- Todas las anteriores son correctas.', 'D', '1', '3.5');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spans="1:31" ht="15" customHeight="1" x14ac:dyDescent="0.25">
      <c r="A161">
        <v>38</v>
      </c>
      <c r="B161" s="11" t="str">
        <f t="shared" si="0"/>
        <v>INSERT INTO PREGUNTAS (ID_PREGUNTA,ID_SUBTEMA_TOPICO,ID_ORIGEN,PREGUNTA,RESPUESTA_A,RESPUESTA_B,RESPUESTA_C,RESPUESTA_D,RESPUESTA_CORRECTA,ID_MATERIA,UNIDAD) VALUES (177,27,2, 'Señale la respuesta correcta. El coste de las salvaguardas debe ser inferior a:', 'A.- 10 % del valor del sistema a proteger.', 'B.- Los beneficios.', 'C.- La estimación de las pérdidas.', 'D.- Ninguna de las anteriores.', 'C', '1', '3.5');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1" ht="15" customHeight="1" x14ac:dyDescent="0.25">
      <c r="A162">
        <v>39</v>
      </c>
      <c r="B162" s="11" t="str">
        <f t="shared" si="0"/>
        <v>INSERT INTO PREGUNTAS (ID_PREGUNTA,ID_SUBTEMA_TOPICO,ID_ORIGEN,PREGUNTA,RESPUESTA_A,RESPUESTA_B,RESPUESTA_C,RESPUESTA_D,RESPUESTA_CORRECTA,ID_MATERIA,UNIDAD) VALUES (178,27,2, 'Los perfiles de seguridad que incorpora la herramienta PILAR son:', 'A.- ISO 27002:2013.', 'B.- GDPR.', 'C.- 
ENS.', 'D.- Todas las anteriores son ciertas.', 'D', '1', '3.5');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spans="1:31" ht="15" customHeight="1" x14ac:dyDescent="0.25">
      <c r="A163">
        <v>40</v>
      </c>
      <c r="B163" s="11" t="str">
        <f t="shared" si="0"/>
        <v>INSERT INTO PREGUNTAS (ID_PREGUNTA,ID_SUBTEMA_TOPICO,ID_ORIGEN,PREGUNTA,RESPUESTA_A,RESPUESTA_B,RESPUESTA_C,RESPUESTA_D,RESPUESTA_CORRECTA,ID_MATERIA,UNIDAD) VALUES (179,27,2, '¿En qué fase se debe realizar un test de penetración a una app web?', 'A.- Diseño.', 'B.- 
Desarrollo.', 'C.- Pruebas.', 'D.- 
Producción.', 'C', '1', '4.1');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spans="1:31" ht="15" customHeight="1" x14ac:dyDescent="0.25">
      <c r="A164">
        <v>41</v>
      </c>
      <c r="B164" s="11" t="str">
        <f t="shared" si="0"/>
        <v>INSERT INTO PREGUNTAS (ID_PREGUNTA,ID_SUBTEMA_TOPICO,ID_ORIGEN,PREGUNTA,RESPUESTA_A,RESPUESTA_B,RESPUESTA_C,RESPUESTA_D,RESPUESTA_CORRECTA,ID_MATERIA,UNIDAD) VALUES (180,27,2, 'La derivación de requisitos de seguridad depende de:', 'A.- El modelado de amenazas o casos de abuso.', 'B.- 
Del análisis de riesgos.', 'C.- Análisis de seguridad del código fuente.', 'D.- Las opciones A y B.', 'D', '1', '4.1');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1" ht="15" customHeight="1" x14ac:dyDescent="0.25">
      <c r="A165">
        <v>42</v>
      </c>
      <c r="B165" s="11" t="str">
        <f t="shared" si="0"/>
        <v>INSERT INTO PREGUNTAS (ID_PREGUNTA,ID_SUBTEMA_TOPICO,ID_ORIGEN,PREGUNTA,RESPUESTA_A,RESPUESTA_B,RESPUESTA_C,RESPUESTA_D,RESPUESTA_CORRECTA,ID_MATERIA,UNIDAD) VALUES (181,27,2, 'Antes del test de penetración, ¿qué actividades de seguridad hay que llevar a cabo?', 'A.- Derivación de requisitos de seguridad.', 'B.- Modelado de amenazas.', 'C.- Análisis de seguridad del código fuente.', 'D.- Todas las opciones anteriores son correctas.', 'D', '1', '4.1');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spans="1:31" ht="15" customHeight="1" x14ac:dyDescent="0.25">
      <c r="A166">
        <v>43</v>
      </c>
      <c r="B166" s="11" t="str">
        <f t="shared" si="0"/>
        <v>INSERT INTO PREGUNTAS (ID_PREGUNTA,ID_SUBTEMA_TOPICO,ID_ORIGEN,PREGUNTA,RESPUESTA_A,RESPUESTA_B,RESPUESTA_C,RESPUESTA_D,RESPUESTA_CORRECTA,ID_MATERIA,UNIDAD) VALUES (182,27,2, 'Los web services son un tipo de arquitectura:', 'A.- 
Clásica.', 'B.- RIA.', 'C.- SOA.', 'D.- Ninguna de las anteriores.', 'C', '1', '4.2');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1" ht="15" customHeight="1" x14ac:dyDescent="0.25">
      <c r="A167">
        <v>44</v>
      </c>
      <c r="B167" s="11" t="str">
        <f t="shared" si="0"/>
        <v>INSERT INTO PREGUNTAS (ID_PREGUNTA,ID_SUBTEMA_TOPICO,ID_ORIGEN,PREGUNTA,RESPUESTA_A,RESPUESTA_B,RESPUESTA_C,RESPUESTA_D,RESPUESTA_CORRECTA,ID_MATERIA,UNIDAD) VALUES (183,27,2, '¿Qué tipo de aplicaciones móviles tienen más limitado el acceso a los dispositivos físicos del móvil?', 'A.- Nativas.', 'B.- Basadas en navegador.', 'C.- Híbridas.', 'D.- Clásicas.', 'B', '1', '4.2');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1" ht="15" customHeight="1" x14ac:dyDescent="0.25">
      <c r="A168">
        <v>45</v>
      </c>
      <c r="B168" s="11" t="str">
        <f t="shared" si="0"/>
        <v>INSERT INTO PREGUNTAS (ID_PREGUNTA,ID_SUBTEMA_TOPICO,ID_ORIGEN,PREGUNTA,RESPUESTA_A,RESPUESTA_B,RESPUESTA_C,RESPUESTA_D,RESPUESTA_CORRECTA,ID_MATERIA,UNIDAD) VALUES (184,27,2, 'En la arquitectura clásica de aplicaciones web, ¿Dónde se genera la capa de presentación?', 'A.- Navegador.', 'B.- Persistencia.', 'C.- Servidor de aplicaciones.', 'D.- SGBD.', 'C', '1', '4.2');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1" ht="15" customHeight="1" x14ac:dyDescent="0.25">
      <c r="A169">
        <v>46</v>
      </c>
      <c r="B169" s="11" t="str">
        <f t="shared" si="0"/>
        <v>INSERT INTO PREGUNTAS (ID_PREGUNTA,ID_SUBTEMA_TOPICO,ID_ORIGEN,PREGUNTA,RESPUESTA_A,RESPUESTA_B,RESPUESTA_C,RESPUESTA_D,RESPUESTA_CORRECTA,ID_MATERIA,UNIDAD) VALUES (185,27,2, '¿Qué método se suele usar en las arquitecturas de aplicaciones AJAX para comunicación con el servidor?', 'A.- Request().', 'B.- HttpRequest()', 'C.- xmlRequest().', 'D.- xmlHttpRequest().', 'D', '1', '4.3');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1" ht="15" customHeight="1" x14ac:dyDescent="0.25">
      <c r="A170">
        <v>47</v>
      </c>
      <c r="B170" s="11" t="str">
        <f t="shared" si="0"/>
        <v>INSERT INTO PREGUNTAS (ID_PREGUNTA,ID_SUBTEMA_TOPICO,ID_ORIGEN,PREGUNTA,RESPUESTA_A,RESPUESTA_B,RESPUESTA_C,RESPUESTA_D,RESPUESTA_CORRECTA,ID_MATERIA,UNIDAD) VALUES (186,27,2, '¿Qué tecnologías usa la arquitectura de aplicaciones AJAX?', 'A.- JavaScript.', 'B.- XML.', 'C.- HTML.', 'D.- Todas las anteriores son correctas.', 'D', '1', '4.3');</v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1" ht="15" customHeight="1" x14ac:dyDescent="0.25">
      <c r="A171">
        <v>48</v>
      </c>
      <c r="B171" s="11" t="str">
        <f t="shared" si="0"/>
        <v>INSERT INTO PREGUNTAS (ID_PREGUNTA,ID_SUBTEMA_TOPICO,ID_ORIGEN,PREGUNTA,RESPUESTA_A,RESPUESTA_B,RESPUESTA_C,RESPUESTA_D,RESPUESTA_CORRECTA,ID_MATERIA,UNIDAD) VALUES (187,27,2, 'En la arquitectura RIA de aplicaciones web, ¿dónde se genera la capa de presentación?', 'A.- 
Navegador.', 'B.- Persistencia.', 'C.- Servidor de aplicaciones.', 'D.- SGBD.', 'A', '1', '4.3');</v>
      </c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1" ht="15" customHeight="1" x14ac:dyDescent="0.25">
      <c r="A172">
        <v>49</v>
      </c>
      <c r="B172" s="11" t="str">
        <f t="shared" si="0"/>
        <v>INSERT INTO PREGUNTAS (ID_PREGUNTA,ID_SUBTEMA_TOPICO,ID_ORIGEN,PREGUNTA,RESPUESTA_A,RESPUESTA_B,RESPUESTA_C,RESPUESTA_D,RESPUESTA_CORRECTA,ID_MATERIA,UNIDAD) VALUES (188,27,2, '¿Qué método HTTP permite conectarse a un servicio situado detrás de un proxy?', 'A.- PUT.', 'B.- GET.', 'C.- POST.', 'D.- CONNECT.', 'D', '1', '4.4');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1" ht="15" customHeight="1" x14ac:dyDescent="0.25">
      <c r="A173">
        <v>50</v>
      </c>
      <c r="B173" s="11" t="str">
        <f t="shared" si="0"/>
        <v>INSERT INTO PREGUNTAS (ID_PREGUNTA,ID_SUBTEMA_TOPICO,ID_ORIGEN,PREGUNTA,RESPUESTA_A,RESPUESTA_B,RESPUESTA_C,RESPUESTA_D,RESPUESTA_CORRECTA,ID_MATERIA,UNIDAD) VALUES (189,27,2, '¿Qué método HTTP permite obtener solo las cabeceras de la aplicación web?', 'A.- PUT.', 'B.- HEAD.', 'C.- POST.', 'D.- GET.', 'B', '1', '4.4');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1" ht="15" customHeight="1" x14ac:dyDescent="0.25">
      <c r="A174">
        <v>51</v>
      </c>
      <c r="B174" s="11" t="str">
        <f t="shared" si="0"/>
        <v>INSERT INTO PREGUNTAS (ID_PREGUNTA,ID_SUBTEMA_TOPICO,ID_ORIGEN,PREGUNTA,RESPUESTA_A,RESPUESTA_B,RESPUESTA_C,RESPUESTA_D,RESPUESTA_CORRECTA,ID_MATERIA,UNIDAD) VALUES (190,27,2, '¿Qué método HTTP envía los parámetros en la URL?', 'A.- 
GET.', 'B.- POST.', 'C.- PUT.', 'D.- Todas las anteriores.', 'A', '1', '4.4');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1" ht="15" customHeight="1" x14ac:dyDescent="0.25">
      <c r="A175">
        <v>52</v>
      </c>
      <c r="B175" s="11" t="str">
        <f t="shared" si="0"/>
        <v>INSERT INTO PREGUNTAS (ID_PREGUNTA,ID_SUBTEMA_TOPICO,ID_ORIGEN,PREGUNTA,RESPUESTA_A,RESPUESTA_B,RESPUESTA_C,RESPUESTA_D,RESPUESTA_CORRECTA,ID_MATERIA,UNIDAD) VALUES (191,27,2, '¿Cómo se previene XSS?', 'A.- Test de penetración.', 'B.- Codificación de la salida.', 'C.- Validación de entrada mediante consultas parametrizadas.', 'D.- B y C son correctas.', 'D', '1', '5.1');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1" ht="15" customHeight="1" x14ac:dyDescent="0.25">
      <c r="A176">
        <v>53</v>
      </c>
      <c r="B176" s="11" t="str">
        <f t="shared" si="0"/>
        <v>INSERT INTO PREGUNTAS (ID_PREGUNTA,ID_SUBTEMA_TOPICO,ID_ORIGEN,PREGUNTA,RESPUESTA_A,RESPUESTA_B,RESPUESTA_C,RESPUESTA_D,RESPUESTA_CORRECTA,ID_MATERIA,UNIDAD) VALUES (192,27,2, '¿Qué vectores de entrada se pueden usar para intentar XSS?', 'A.- Enlaces de correos electrónicos.', 'B.- 
Campos de formularios.', 'C.- Cualquier ejecución de un enlace debidamente parametrizado desde cualquier ubicación.', 'D.- Todas las anteriores son correctas', 'D', '1', '5.1');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1:31" ht="15" customHeight="1" x14ac:dyDescent="0.25">
      <c r="A177">
        <v>54</v>
      </c>
      <c r="B177" s="11" t="str">
        <f t="shared" si="0"/>
        <v>INSERT INTO PREGUNTAS (ID_PREGUNTA,ID_SUBTEMA_TOPICO,ID_ORIGEN,PREGUNTA,RESPUESTA_A,RESPUESTA_B,RESPUESTA_C,RESPUESTA_D,RESPUESTA_CORRECTA,ID_MATERIA,UNIDAD) VALUES (193,27,2, '¿Cuál es un ejemplo de payload XSS?', 'A.- &lt;script&gt;alert("hacked")&lt;/script&gt;.', 'B.- ‘ OR 1=1#.', 'C.- C.../../template.ini.', 'D.- Todas las anteriores.', 'A', '1', '5.1');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1:31" ht="15" customHeight="1" x14ac:dyDescent="0.25">
      <c r="A178">
        <v>55</v>
      </c>
      <c r="B178" s="11" t="str">
        <f t="shared" si="0"/>
        <v>INSERT INTO PREGUNTAS (ID_PREGUNTA,ID_SUBTEMA_TOPICO,ID_ORIGEN,PREGUNTA,RESPUESTA_A,RESPUESTA_B,RESPUESTA_C,RESPUESTA_D,RESPUESTA_CORRECTA,ID_MATERIA,UNIDAD) VALUES (194,27,2, 'La vulnerabilidad LFI o inclusión de ficheros…', 'A.- 
Permite acceder a recursos del sistema de ficheros no permitidos.', 'B.- Permite autenticarse suplantando a un usuario.', 'C.- Permite robo de credenciales.', 'D.- Las opciones A y C son correctas.', 'D', '1', '5.2');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ht="15" customHeight="1" x14ac:dyDescent="0.25">
      <c r="A179">
        <v>56</v>
      </c>
      <c r="B179" s="11" t="str">
        <f t="shared" si="0"/>
        <v>INSERT INTO PREGUNTAS (ID_PREGUNTA,ID_SUBTEMA_TOPICO,ID_ORIGEN,PREGUNTA,RESPUESTA_A,RESPUESTA_B,RESPUESTA_C,RESPUESTA_D,RESPUESTA_CORRECTA,ID_MATERIA,UNIDAD) VALUES (195,27,2, '¿Qué vectores de entrada se pueden usar para intentar explotar LFI?', 'A.- Enlaces de correos electrónicos.', 'B.- Campo de un formulario.', 'C.- Todas las opciones son correctas.', 'D.- Cualquier ejecución de un enlace debidamente parametrizado desde cualquier ubicación.', 'C', '1', '5.2');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ht="15" customHeight="1" x14ac:dyDescent="0.25">
      <c r="A180">
        <v>57</v>
      </c>
      <c r="B180" s="11" t="str">
        <f t="shared" si="0"/>
        <v>INSERT INTO PREGUNTAS (ID_PREGUNTA,ID_SUBTEMA_TOPICO,ID_ORIGEN,PREGUNTA,RESPUESTA_A,RESPUESTA_B,RESPUESTA_C,RESPUESTA_D,RESPUESTA_CORRECTA,ID_MATERIA,UNIDAD) VALUES (196,27,2, '¿Cuál es un ejemplo de payload de RFI?', 'A.- &lt;script&gt;alert("hacked")&lt;/script&gt;.', 'B.- ‘ OR 1=1#', 'C.- C.../../template.ini', 'D.- http://localhost/index.php?page = http://google.com/.', 'D', '1', '5.2');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1:31" ht="15" customHeight="1" x14ac:dyDescent="0.25">
      <c r="A181">
        <v>58</v>
      </c>
      <c r="B181" s="11" t="str">
        <f t="shared" si="0"/>
        <v>INSERT INTO PREGUNTAS (ID_PREGUNTA,ID_SUBTEMA_TOPICO,ID_ORIGEN,PREGUNTA,RESPUESTA_A,RESPUESTA_B,RESPUESTA_C,RESPUESTA_D,RESPUESTA_CORRECTA,ID_MATERIA,UNIDAD) VALUES (197,27,2, '¿Por qué motivo se puede dar un ataque de suplantación en una aplicación web mediante fijación de sesión?', 'A.- La aplicación web suministra un ID de sesión previo a la autenticación correcta de un usuario.', 'B.- Suplantar a un usuario no es posible a menos que se capture el ID de sesión.', 'C.- La aplicación web suministra un ID de sesión después de una autenticación correcta de un usuario.', 'D.- Todas las anteriores son ciertas.', 'A', '1', '5.3');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ht="15" customHeight="1" x14ac:dyDescent="0.25">
      <c r="A182">
        <v>59</v>
      </c>
      <c r="B182" s="11" t="str">
        <f t="shared" si="0"/>
        <v>INSERT INTO PREGUNTAS (ID_PREGUNTA,ID_SUBTEMA_TOPICO,ID_ORIGEN,PREGUNTA,RESPUESTA_A,RESPUESTA_B,RESPUESTA_C,RESPUESTA_D,RESPUESTA_CORRECTA,ID_MATERIA,UNIDAD) VALUES (198,27,2, '¿Cómo se puede conseguir explotar Server Side Request Forgery?:', 'A.- Manipulación de parámetros a través de un formulario.', 'B.- Ejecutando un enlace contenido en un correo recibido.', 'C.- Ejecutando un enlace navegando por Internet.', 'D.- Todas las anteriores son correctas.', 'D', '1', '5.3');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ht="15" customHeight="1" x14ac:dyDescent="0.25">
      <c r="A183">
        <v>60</v>
      </c>
      <c r="B183" s="11" t="str">
        <f t="shared" si="0"/>
        <v>INSERT INTO PREGUNTAS (ID_PREGUNTA,ID_SUBTEMA_TOPICO,ID_ORIGEN,PREGUNTA,RESPUESTA_A,RESPUESTA_B,RESPUESTA_C,RESPUESTA_D,RESPUESTA_CORRECTA,ID_MATERIA,UNIDAD) VALUES (199,27,2, '¿Cómo se puede mitigar la vulnerabilidad Server Side Request Forgery?', 'A.- Consultas parametrizadas.', 'B.- Validación de entrada.', 'C.- Codificación de la salida.', 'D.- Ninguna de las anteriores.', 'B', '1', '5.3');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ht="15" customHeight="1" x14ac:dyDescent="0.25">
      <c r="A184">
        <v>61</v>
      </c>
      <c r="B184" s="11" t="str">
        <f t="shared" si="0"/>
        <v>INSERT INTO PREGUNTAS (ID_PREGUNTA,ID_SUBTEMA_TOPICO,ID_ORIGEN,PREGUNTA,RESPUESTA_A,RESPUESTA_B,RESPUESTA_C,RESPUESTA_D,RESPUESTA_CORRECTA,ID_MATERIA,UNIDAD) VALUES (200,27,2, '¿Cómo se previene CSRF?', 'A.- Test de penetración.', 'B.- Codificación de la salida.', 'C.- Validación de entrada mediante consultas parametrizadas.', 'D.- Token anti-CSRF.', 'D', '1', '5.4');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1:31" ht="15" customHeight="1" x14ac:dyDescent="0.25">
      <c r="A185">
        <v>62</v>
      </c>
      <c r="B185" s="11" t="str">
        <f t="shared" si="0"/>
        <v>INSERT INTO PREGUNTAS (ID_PREGUNTA,ID_SUBTEMA_TOPICO,ID_ORIGEN,PREGUNTA,RESPUESTA_A,RESPUESTA_B,RESPUESTA_C,RESPUESTA_D,RESPUESTA_CORRECTA,ID_MATERIA,UNIDAD) VALUES (201,27,2, 'La vulnerabilidad redirección no validada (open redirect):', 'A.- Permite incluir ficheros remotos de otro servidor no permitidos.', 'B.- Permite autenticarse suplantando a un usuario.', 'C.- Permite el robo de credenciales.', 'D.- Permite redirigir al usuario víctima a un sitio web no esperado.', 'D', '1', '5.4');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1:31" ht="15" customHeight="1" x14ac:dyDescent="0.25">
      <c r="A186">
        <v>63</v>
      </c>
      <c r="B186" s="11" t="str">
        <f t="shared" si="0"/>
        <v>INSERT INTO PREGUNTAS (ID_PREGUNTA,ID_SUBTEMA_TOPICO,ID_ORIGEN,PREGUNTA,RESPUESTA_A,RESPUESTA_B,RESPUESTA_C,RESPUESTA_D,RESPUESTA_CORRECTA,ID_MATERIA,UNIDAD) VALUES (202,27,2, '¿Cuál es un ejemplo de payload de CSRF?', 'A.- &lt;script&gt;alert("hacked")&lt;/script&gt;.', 'B.- ‘ OR 1=1#.', 'C.- C.../../template.ini.', 'D.- Ninguna de las anteriores.', 'D', '1', '5.4');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ht="15" customHeight="1" x14ac:dyDescent="0.25">
      <c r="A187">
        <v>64</v>
      </c>
      <c r="B187" s="11" t="str">
        <f t="shared" si="0"/>
        <v>INSERT INTO PREGUNTAS (ID_PREGUNTA,ID_SUBTEMA_TOPICO,ID_ORIGEN,PREGUNTA,RESPUESTA_A,RESPUESTA_B,RESPUESTA_C,RESPUESTA_D,RESPUESTA_CORRECTA,ID_MATERIA,UNIDAD) VALUES (203,27,2, '¿Cómo envía el método Basic las credenciales al servidor de aplicaciones?', 'A.- Cifrados.', 'B.- En claro.', 'C.- Codificadas Base64.', 'D.- 
HASH MD5.', 'C', '1', '6.1');</v>
      </c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ht="15" customHeight="1" x14ac:dyDescent="0.25">
      <c r="A188">
        <v>65</v>
      </c>
      <c r="B188" s="11" t="str">
        <f t="shared" si="0"/>
        <v>INSERT INTO PREGUNTAS (ID_PREGUNTA,ID_SUBTEMA_TOPICO,ID_ORIGEN,PREGUNTA,RESPUESTA_A,RESPUESTA_B,RESPUESTA_C,RESPUESTA_D,RESPUESTA_CORRECTA,ID_MATERIA,UNIDAD) VALUES (204,27,2, '¿Qué ataques puede sufrir Basic?', 'A.- Repetición.', 'B.- 
XSS.', 'C.- 
CSRF.', 'D.- 
RFI.', 'A', '1', '6.1');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1:31" ht="15" customHeight="1" x14ac:dyDescent="0.25">
      <c r="A189">
        <v>66</v>
      </c>
      <c r="B189" s="11" t="str">
        <f t="shared" ref="B189:B219" si="1">"INSERT INTO PREGUNTAS ("&amp;$B$2&amp;","&amp;$C$2&amp;","&amp;$D$2&amp;","&amp;$E$2&amp;","&amp;$G$2&amp;","&amp;$H$2&amp;","&amp;$I$2&amp;","&amp;$J$2&amp;","&amp;$P$2&amp;","&amp;$T$2&amp;","&amp;$U$2&amp;") VALUES ("&amp;B68&amp;","&amp;C68&amp;","&amp;D68&amp;", '"&amp;E68&amp;"', '"&amp;G68&amp;"', '"&amp;H68&amp;"', '"&amp;I68&amp;"', '"&amp;J68&amp;"', '"&amp;P68&amp;"', '"&amp;T68&amp;"', '"&amp;U68&amp;"');"</f>
        <v>INSERT INTO PREGUNTAS (ID_PREGUNTA,ID_SUBTEMA_TOPICO,ID_ORIGEN,PREGUNTA,RESPUESTA_A,RESPUESTA_B,RESPUESTA_C,RESPUESTA_D,RESPUESTA_CORRECTA,ID_MATERIA,UNIDAD) VALUES (205,27,2, '¿Cómo envía Digest las credenciales al servidor de aplicaciones?', 'A.- Cifrados.', 'B.- En claro.', 'C.- 
Codificadas en Base64.', 'D.- HASH MD5.', 'D', '1', '6.1');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1:31" ht="15" customHeight="1" x14ac:dyDescent="0.25">
      <c r="A190">
        <v>67</v>
      </c>
      <c r="B190" s="11" t="str">
        <f t="shared" si="1"/>
        <v>INSERT INTO PREGUNTAS (ID_PREGUNTA,ID_SUBTEMA_TOPICO,ID_ORIGEN,PREGUNTA,RESPUESTA_A,RESPUESTA_B,RESPUESTA_C,RESPUESTA_D,RESPUESTA_CORRECTA,ID_MATERIA,UNIDAD) VALUES (206,27,2, '¿Cómo envía NTLM las credenciales al servidor de aplicaciones?', 'A.- Cifrados.', 'B.- HMAC-MD5.', 'C.- Codificadas en Base64.', 'D.- HASH MD5.', 'B', '1', '6.2');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ht="15" customHeight="1" x14ac:dyDescent="0.25">
      <c r="A191">
        <v>68</v>
      </c>
      <c r="B191" s="11" t="str">
        <f t="shared" si="1"/>
        <v>INSERT INTO PREGUNTAS (ID_PREGUNTA,ID_SUBTEMA_TOPICO,ID_ORIGEN,PREGUNTA,RESPUESTA_A,RESPUESTA_B,RESPUESTA_C,RESPUESTA_D,RESPUESTA_CORRECTA,ID_MATERIA,UNIDAD) VALUES (207,27,2, '¿Qué ataque es típico contra Kerberos?', 'A.- Golden Ticket.', 'B.- Silver Ticket.', 'C.- Kerberoasting.', 'D.- 
Todas las anteriores son correctas.', 'D', '1', '6.2');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ht="15" customHeight="1" x14ac:dyDescent="0.25">
      <c r="A192">
        <v>69</v>
      </c>
      <c r="B192" s="11" t="str">
        <f t="shared" si="1"/>
        <v>INSERT INTO PREGUNTAS (ID_PREGUNTA,ID_SUBTEMA_TOPICO,ID_ORIGEN,PREGUNTA,RESPUESTA_A,RESPUESTA_B,RESPUESTA_C,RESPUESTA_D,RESPUESTA_CORRECTA,ID_MATERIA,UNIDAD) VALUES (208,27,2, 'NTLM calcula 2 parámetros que son:', 'A.- LMV2 y NTV2.', 'B.- LMV2 y TNV2.', 'C.- Solo calcula y envía NTV2.', 'D.- Todas las anteriores son correctas.', 'A', '1', '6.2');</v>
      </c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1:31" ht="15" customHeight="1" x14ac:dyDescent="0.25">
      <c r="A193">
        <v>70</v>
      </c>
      <c r="B193" s="11" t="str">
        <f t="shared" si="1"/>
        <v>INSERT INTO PREGUNTAS (ID_PREGUNTA,ID_SUBTEMA_TOPICO,ID_ORIGEN,PREGUNTA,RESPUESTA_A,RESPUESTA_B,RESPUESTA_C,RESPUESTA_D,RESPUESTA_CORRECTA,ID_MATERIA,UNIDAD) VALUES (209,27,2, 'OAUTH2 usa:', 'A.- Token de acceso.', 'B.- Código de autorización.', 'C.- La A y la B.', 'D.- Ticket.', 'C', '1', '6.3');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ht="15" customHeight="1" x14ac:dyDescent="0.25">
      <c r="A194">
        <v>71</v>
      </c>
      <c r="B194" s="11" t="str">
        <f t="shared" si="1"/>
        <v>INSERT INTO PREGUNTAS (ID_PREGUNTA,ID_SUBTEMA_TOPICO,ID_ORIGEN,PREGUNTA,RESPUESTA_A,RESPUESTA_B,RESPUESTA_C,RESPUESTA_D,RESPUESTA_CORRECTA,ID_MATERIA,UNIDAD) VALUES (210,27,2, '¿De qué tipo son el token y el código de autorización en OAUTH2?', 'A.- DIGEST.', 'B.- BASIC.', 'C.- JWT.', 'D.- HTTP.', 'C', '1', '6.3');</v>
      </c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ht="15" customHeight="1" x14ac:dyDescent="0.25">
      <c r="A195">
        <v>72</v>
      </c>
      <c r="B195" s="11" t="str">
        <f t="shared" si="1"/>
        <v>INSERT INTO PREGUNTAS (ID_PREGUNTA,ID_SUBTEMA_TOPICO,ID_ORIGEN,PREGUNTA,RESPUESTA_A,RESPUESTA_B,RESPUESTA_C,RESPUESTA_D,RESPUESTA_CORRECTA,ID_MATERIA,UNIDAD) VALUES (211,27,2, '¿Dónde se aloja la información del usuario en un JWT?', 'A.- HEADER.', 'B.- PAYLOAD.', 'C.- SIGNTURE.', 'D.- Todas las anteriores son correctas.', 'B', '1', '6.3');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ht="15" customHeight="1" x14ac:dyDescent="0.25">
      <c r="A196">
        <v>73</v>
      </c>
      <c r="B196" s="11" t="str">
        <f t="shared" si="1"/>
        <v>INSERT INTO PREGUNTAS (ID_PREGUNTA,ID_SUBTEMA_TOPICO,ID_ORIGEN,PREGUNTA,RESPUESTA_A,RESPUESTA_B,RESPUESTA_C,RESPUESTA_D,RESPUESTA_CORRECTA,ID_MATERIA,UNIDAD) VALUES (212,27,2, 'TLS usa algoritmos como:', 'A.- RSA.', 'B.- AES.', 'C.- SHA-512', 'D.- Todos los anteriores son correctos.', 'D', '1', '6.4');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ht="15" customHeight="1" x14ac:dyDescent="0.25">
      <c r="A197">
        <v>74</v>
      </c>
      <c r="B197" s="11" t="str">
        <f t="shared" si="1"/>
        <v>INSERT INTO PREGUNTAS (ID_PREGUNTA,ID_SUBTEMA_TOPICO,ID_ORIGEN,PREGUNTA,RESPUESTA_A,RESPUESTA_B,RESPUESTA_C,RESPUESTA_D,RESPUESTA_CORRECTA,ID_MATERIA,UNIDAD) VALUES (213,27,2, 'La autenticación basada en formularios hace uso de:', 'A.- Método HTTP POST.', 'B.- ID de sesión.', 'C.- Usuario y contraseña.', 'D.- 
Todas las anteriores son correctas.', 'D', '1', '6.4');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ht="15" customHeight="1" x14ac:dyDescent="0.25">
      <c r="A198">
        <v>75</v>
      </c>
      <c r="B198" s="11" t="str">
        <f t="shared" si="1"/>
        <v>INSERT INTO PREGUNTAS (ID_PREGUNTA,ID_SUBTEMA_TOPICO,ID_ORIGEN,PREGUNTA,RESPUESTA_A,RESPUESTA_B,RESPUESTA_C,RESPUESTA_D,RESPUESTA_CORRECTA,ID_MATERIA,UNIDAD) VALUES (214,27,2, '¿Qué se recomienda para TLS?', 'A.- Además de comprobar el certificado del servidor, requerir la comprobación de un certificado personal al cliente.', 'B.- Usar AES 256.', 'C.- Usar RSA 2048.', 'D.- Todas las anteriores son correctas.', 'D', '1', '6.4');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ht="15" customHeight="1" x14ac:dyDescent="0.25">
      <c r="A199">
        <v>76</v>
      </c>
      <c r="B199" s="11" t="str">
        <f t="shared" si="1"/>
        <v>INSERT INTO PREGUNTAS (ID_PREGUNTA,ID_SUBTEMA_TOPICO,ID_ORIGEN,PREGUNTA,RESPUESTA_A,RESPUESTA_B,RESPUESTA_C,RESPUESTA_D,RESPUESTA_CORRECTA,ID_MATERIA,UNIDAD) VALUES (215,27,2, '¿Qué tipo de ataques puede sufrir la autenticación para suplantar un usuario?', 'A.- 
Fuerza bruta.', 'B.- LFI.', 'C.- SSRF.', 'D.- Todos los anteriores son correctos.', 'A', '1', '6.5');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ht="15" customHeight="1" x14ac:dyDescent="0.25">
      <c r="A200">
        <v>77</v>
      </c>
      <c r="B200" s="11" t="str">
        <f t="shared" si="1"/>
        <v>INSERT INTO PREGUNTAS (ID_PREGUNTA,ID_SUBTEMA_TOPICO,ID_ORIGEN,PREGUNTA,RESPUESTA_A,RESPUESTA_B,RESPUESTA_C,RESPUESTA_D,RESPUESTA_CORRECTA,ID_MATERIA,UNIDAD) VALUES (216,27,2, '¿De qué tipo de ataque previene la implementación de CAPTCHA?', 'A.- Fuerza bruta.', 'B.- LFI.', 'C.- 
SQLI.', 'D.- XSS.', 'A', '1', '6.5');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ht="15" customHeight="1" x14ac:dyDescent="0.25">
      <c r="A201">
        <v>78</v>
      </c>
      <c r="B201" s="11" t="str">
        <f t="shared" si="1"/>
        <v>INSERT INTO PREGUNTAS (ID_PREGUNTA,ID_SUBTEMA_TOPICO,ID_ORIGEN,PREGUNTA,RESPUESTA_A,RESPUESTA_B,RESPUESTA_C,RESPUESTA_D,RESPUESTA_CORRECTA,ID_MATERIA,UNIDAD) VALUES (217,27,2, '¿Qué medidas se recomiendan para implementar para tener una autenticación más robusta?', 'A.- 
Comprobar ruta de certificación en TLS: certificate pinning.', 'B.- Combinar distintos métodos de autenticación (algo que se sabe, se tiene o se es).', 'C.- 
TLS de cliente requerido para combinar con todos los demás métodos.', 'D.- 
Todas las anteriores son correctas.', 'D', '1', '6.5');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1:31" ht="15" customHeight="1" x14ac:dyDescent="0.25">
      <c r="A202">
        <v>79</v>
      </c>
      <c r="B202" s="11" t="str">
        <f t="shared" si="1"/>
        <v>INSERT INTO PREGUNTAS (ID_PREGUNTA,ID_SUBTEMA_TOPICO,ID_ORIGEN,PREGUNTA,RESPUESTA_A,RESPUESTA_B,RESPUESTA_C,RESPUESTA_D,RESPUESTA_CORRECTA,ID_MATERIA,UNIDAD) VALUES (218,27,2, '¿Cuándo se debe crear el ID de sesión?', 'A.- Antes de la autenticación.', 'B.- 
Después de la autenticación correcta.', 'C.- En cualquier momento.', 'D.- No es necesario.', 'B', '1', '7.1');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spans="1:31" ht="15" customHeight="1" x14ac:dyDescent="0.25">
      <c r="A203">
        <v>80</v>
      </c>
      <c r="B203" s="11" t="str">
        <f t="shared" si="1"/>
        <v>INSERT INTO PREGUNTAS (ID_PREGUNTA,ID_SUBTEMA_TOPICO,ID_ORIGEN,PREGUNTA,RESPUESTA_A,RESPUESTA_B,RESPUESTA_C,RESPUESTA_D,RESPUESTA_CORRECTA,ID_MATERIA,UNIDAD) VALUES (219,27,2, '¿Dónde puede ubicarse el ID de sesión?', 'A.- Cabecera SET-COOKIE.', 'B.- Parámetro URL.', 'C.- Parámetro POST.', 'D.- Todas las anteriores.', 'D', '1', '7.1');</v>
      </c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 spans="1:31" ht="15" customHeight="1" x14ac:dyDescent="0.25">
      <c r="A204">
        <v>81</v>
      </c>
      <c r="B204" s="11" t="str">
        <f t="shared" si="1"/>
        <v>INSERT INTO PREGUNTAS (ID_PREGUNTA,ID_SUBTEMA_TOPICO,ID_ORIGEN,PREGUNTA,RESPUESTA_A,RESPUESTA_B,RESPUESTA_C,RESPUESTA_D,RESPUESTA_CORRECTA,ID_MATERIA,UNIDAD) VALUES (220,27,2, '¿Con qué método de autenticación se crea el ID de sesión?', 'A.- NTLM.', 'B.- 
BASIC.', 'C.- Basado en formularios.', 'D.- 
DIGEST.', 'C', '1', '7.1');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spans="1:31" ht="15" customHeight="1" x14ac:dyDescent="0.25">
      <c r="A205">
        <v>82</v>
      </c>
      <c r="B205" s="11" t="str">
        <f t="shared" si="1"/>
        <v>INSERT INTO PREGUNTAS (ID_PREGUNTA,ID_SUBTEMA_TOPICO,ID_ORIGEN,PREGUNTA,RESPUESTA_A,RESPUESTA_B,RESPUESTA_C,RESPUESTA_D,RESPUESTA_CORRECTA,ID_MATERIA,UNIDAD) VALUES (221,27,2, '¿Cómo se denomina la base de datos del mecanismo de autorización?', 'A.- Lista de control de acceso.', 'B.- Base de datos.', 'C.- Roles.', 'D.- 
Recursos.', 'A', '1', '7.2');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spans="1:31" ht="15" customHeight="1" x14ac:dyDescent="0.25">
      <c r="A206">
        <v>83</v>
      </c>
      <c r="B206" s="11" t="str">
        <f t="shared" si="1"/>
        <v>INSERT INTO PREGUNTAS (ID_PREGUNTA,ID_SUBTEMA_TOPICO,ID_ORIGEN,PREGUNTA,RESPUESTA_A,RESPUESTA_B,RESPUESTA_C,RESPUESTA_D,RESPUESTA_CORRECTA,ID_MATERIA,UNIDAD) VALUES (222,27,2, '¿Con qué tipo de usuario se ejecuta un proceso relativo a un sitio web o plugin del navegador?', 'A.- Con un usuario cualquiera del sistema operativo.', 'B.- Con el usuario del navegador.', 'C.- Con un token restringido.', 'D.- 
Ninguna de las anteriores.', 'C', '1', '7.2');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 spans="1:31" ht="15" customHeight="1" x14ac:dyDescent="0.25">
      <c r="A207">
        <v>84</v>
      </c>
      <c r="B207" s="11" t="str">
        <f t="shared" si="1"/>
        <v>INSERT INTO PREGUNTAS (ID_PREGUNTA,ID_SUBTEMA_TOPICO,ID_ORIGEN,PREGUNTA,RESPUESTA_A,RESPUESTA_B,RESPUESTA_C,RESPUESTA_D,RESPUESTA_CORRECTA,ID_MATERIA,UNIDAD) VALUES (223,27,2, '¿Qué se comprueba en la lista de control de acceso para permitir el acceso a un recurso a un usuario?', 'A.- 
Si el usuario posee el rol necesario que requiere el recurso para ser accedido.', 'B.- Si es administrador.', 'C.- Si es administrador no se realizan comprobaciones en la lista de control de acceso.', 'D.- Ninguna de las anteriores.', 'A', '1', '7.2');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 spans="1:31" ht="15" customHeight="1" x14ac:dyDescent="0.25">
      <c r="A208">
        <v>85</v>
      </c>
      <c r="B208" s="11" t="str">
        <f t="shared" si="1"/>
        <v>INSERT INTO PREGUNTAS (ID_PREGUNTA,ID_SUBTEMA_TOPICO,ID_ORIGEN,PREGUNTA,RESPUESTA_A,RESPUESTA_B,RESPUESTA_C,RESPUESTA_D,RESPUESTA_CORRECTA,ID_MATERIA,UNIDAD) VALUES (224,27,2, '¿Cuál es un ataque a la autorización?', 'A.- TOCTOU.', 'B.- 
XSS.', 'C.- LFI.', 'D.- Todos los anteriores.', 'D', '1', '7.3');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 spans="1:31" ht="15" customHeight="1" x14ac:dyDescent="0.25">
      <c r="A209">
        <v>86</v>
      </c>
      <c r="B209" s="11" t="str">
        <f t="shared" si="1"/>
        <v>INSERT INTO PREGUNTAS (ID_PREGUNTA,ID_SUBTEMA_TOPICO,ID_ORIGEN,PREGUNTA,RESPUESTA_A,RESPUESTA_B,RESPUESTA_C,RESPUESTA_D,RESPUESTA_CORRECTA,ID_MATERIA,UNIDAD) VALUES (225,27,2, '¿Cuál de los siguientes es un mecanismo de defensa para una buena autorización?', 'A.- 
Política robusta de contraseñas.', 'B.- 
Separación de roles y tareas.', 'C.- 
Administración robusta de permisos.', 'D.- Todas las anteriores.', 'D', '1', '7.3');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 spans="1:31" ht="15" customHeight="1" x14ac:dyDescent="0.25">
      <c r="A210">
        <v>87</v>
      </c>
      <c r="B210" s="11" t="str">
        <f t="shared" si="1"/>
        <v>INSERT INTO PREGUNTAS (ID_PREGUNTA,ID_SUBTEMA_TOPICO,ID_ORIGEN,PREGUNTA,RESPUESTA_A,RESPUESTA_B,RESPUESTA_C,RESPUESTA_D,RESPUESTA_CORRECTA,ID_MATERIA,UNIDAD) VALUES (226,27,2, '¿A qué se debe el TOCTOU?', 'A.- A no diseñar operaciones atómicas.', 'B.- A no bloquear el acceso a los recursos debidamente.', 'C.- A no tener un identificador de sesión largo.', 'D.- Las opciones A y B son correctas.', 'D', '1', '7.3');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spans="1:31" ht="15" customHeight="1" x14ac:dyDescent="0.25">
      <c r="A211">
        <v>88</v>
      </c>
      <c r="B211" s="11" t="str">
        <f t="shared" si="1"/>
        <v>INSERT INTO PREGUNTAS (ID_PREGUNTA,ID_SUBTEMA_TOPICO,ID_ORIGEN,PREGUNTA,RESPUESTA_A,RESPUESTA_B,RESPUESTA_C,RESPUESTA_D,RESPUESTA_CORRECTA,ID_MATERIA,UNIDAD) VALUES (227,27,2, '¿Qué no hay que usar para identificar usuarios?', 'A.- 
Direcciones de correo electrónico.', 'B.- Nombres de usuario usando abreviaturas del nombre y apellidos', 'C.- Opciones A y D.', 'D.- Direcciones IP, MAC.', 'C', '1', '8.1');</v>
      </c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 spans="1:31" ht="15" customHeight="1" x14ac:dyDescent="0.25">
      <c r="A212">
        <v>89</v>
      </c>
      <c r="B212" s="11" t="str">
        <f t="shared" si="1"/>
        <v>INSERT INTO PREGUNTAS (ID_PREGUNTA,ID_SUBTEMA_TOPICO,ID_ORIGEN,PREGUNTA,RESPUESTA_A,RESPUESTA_B,RESPUESTA_C,RESPUESTA_D,RESPUESTA_CORRECTA,ID_MATERIA,UNIDAD) VALUES (228,27,2, 'Señala la afirmación incorrecta sobre buenas prácticas de programación:', 'A.- Rehusar código que ha sido testeado y probado.', 'B.- Usar listas negras en lugar de blancas de comprobación.', 'C.- Revisar el proceso de mantenimiento.', 'D.- Insistir en el proceso de revisión de código.', 'B', '1', '8.1');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 spans="1:31" ht="15" customHeight="1" x14ac:dyDescent="0.25">
      <c r="A213">
        <v>90</v>
      </c>
      <c r="B213" s="11" t="str">
        <f t="shared" si="1"/>
        <v>INSERT INTO PREGUNTAS (ID_PREGUNTA,ID_SUBTEMA_TOPICO,ID_ORIGEN,PREGUNTA,RESPUESTA_A,RESPUESTA_B,RESPUESTA_C,RESPUESTA_D,RESPUESTA_CORRECTA,ID_MATERIA,UNIDAD) VALUES (229,27,2, 'Señalar la afirmación incorrecta sobre buenas prácticas de programación:', 'A.- 
No usar en el código nombres relativos de ficheros.', 'B.- No invocar programas en los que no se confía desde programas en los que se confía.', 'C.- Asumir que los usuarios no son maliciosos.', 'D.- Utilizar librerías seguras que generan números aleatorios como random.', 'C', '1', '8.1');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 spans="1:31" ht="15" customHeight="1" x14ac:dyDescent="0.25">
      <c r="A214">
        <v>91</v>
      </c>
      <c r="B214" s="11" t="str">
        <f t="shared" si="1"/>
        <v>INSERT INTO PREGUNTAS (ID_PREGUNTA,ID_SUBTEMA_TOPICO,ID_ORIGEN,PREGUNTA,RESPUESTA_A,RESPUESTA_B,RESPUESTA_C,RESPUESTA_D,RESPUESTA_CORRECTA,ID_MATERIA,UNIDAD) VALUES (230,27,2, 'La mejor forma de evitar SQL injection es:', 'A.- 
Utilizando blacklist antes que whitelist.', 'B.- Validando en el lado del cliente.', 'C.- Mediante sentencias preparadas de SQL.', 'D.- Ninguna de las anteriores.', 'C', '1', '8.2');</v>
      </c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 spans="1:31" ht="15" customHeight="1" x14ac:dyDescent="0.25">
      <c r="A215">
        <v>92</v>
      </c>
      <c r="B215" s="11" t="str">
        <f t="shared" si="1"/>
        <v>INSERT INTO PREGUNTAS (ID_PREGUNTA,ID_SUBTEMA_TOPICO,ID_ORIGEN,PREGUNTA,RESPUESTA_A,RESPUESTA_B,RESPUESTA_C,RESPUESTA_D,RESPUESTA_CORRECTA,ID_MATERIA,UNIDAD) VALUES (231,27,2, '¿Cuáles son formas de prevención de XSS en el código?', 'A.- Validación de entrada.', 'B.- 
Codificación de la salida.', 'C.- Cabecera XSS-protection y Content Security Policy.', 'D.- 
Todas las anteriores son correctas.', 'D', '1', '8.2');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 spans="1:31" ht="15" customHeight="1" x14ac:dyDescent="0.25">
      <c r="A216">
        <v>93</v>
      </c>
      <c r="B216" s="11" t="str">
        <f t="shared" si="1"/>
        <v>INSERT INTO PREGUNTAS (ID_PREGUNTA,ID_SUBTEMA_TOPICO,ID_ORIGEN,PREGUNTA,RESPUESTA_A,RESPUESTA_B,RESPUESTA_C,RESPUESTA_D,RESPUESTA_CORRECTA,ID_MATERIA,UNIDAD) VALUES (232,27,2, '¿Cuáles son formas de prevención de HTTP response splitting en el código?', 'A.- Validación de entrada para evitar los caracteres CR LF.', 'B.- Codificación de la salida.', 'C.- Validación de lista negra.', 'D.- Todas las anteriores son ciertas.', 'A', '1', '8.2');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 spans="1:31" ht="15" customHeight="1" x14ac:dyDescent="0.25">
      <c r="A217">
        <v>94</v>
      </c>
      <c r="B217" s="11" t="str">
        <f t="shared" si="1"/>
        <v>INSERT INTO PREGUNTAS (ID_PREGUNTA,ID_SUBTEMA_TOPICO,ID_ORIGEN,PREGUNTA,RESPUESTA_A,RESPUESTA_B,RESPUESTA_C,RESPUESTA_D,RESPUESTA_CORRECTA,ID_MATERIA,UNIDAD) VALUES (233,27,2, '¿Cómo se pueden evitar vulnerabilidades XXE?', 'A.- Validando los datos de entrada en el código fuente.', 'B.- Validando los datos de entrada a través del XSD.', 'C.- No admitiendo definiciones DTD.', 'D.- Todas las anteriores son ciertas.', 'D', '1', '8.3');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 spans="1:31" ht="15" customHeight="1" x14ac:dyDescent="0.25">
      <c r="A218">
        <v>95</v>
      </c>
      <c r="B218" s="11" t="str">
        <f t="shared" si="1"/>
        <v>INSERT INTO PREGUNTAS (ID_PREGUNTA,ID_SUBTEMA_TOPICO,ID_ORIGEN,PREGUNTA,RESPUESTA_A,RESPUESTA_B,RESPUESTA_C,RESPUESTA_D,RESPUESTA_CORRECTA,ID_MATERIA,UNIDAD) VALUES (234,27,2, '¿Qué se recomienda a la hora de generar números aleatorios?', 'A.- 
Usar algoritmos de tipo estadístico.', 'B.- Usar algoritmos de tipo criptográfico.', 'C.- Cualquier número lo suficientemente largo &gt; de 14 caracteres es válido.', 'D.- Todas las anteriores son ciertas.', 'B', '1', '8.3');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 spans="1:31" ht="15" customHeight="1" x14ac:dyDescent="0.25">
      <c r="A219">
        <v>96</v>
      </c>
      <c r="B219" s="11" t="str">
        <f t="shared" si="1"/>
        <v>INSERT INTO PREGUNTAS (ID_PREGUNTA,ID_SUBTEMA_TOPICO,ID_ORIGEN,PREGUNTA,RESPUESTA_A,RESPUESTA_B,RESPUESTA_C,RESPUESTA_D,RESPUESTA_CORRECTA,ID_MATERIA,UNIDAD) VALUES (235,27,2, '¿Cómo se denomina en Java la función segura de generación de números aleatorios?', 'A.- SecRamdom().', 'B.- SecureRamdom().', 'C.- Ramdom().', 'D.- Ninguna de las anteriores.', 'B', '1', '8.3');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 spans="1:31" ht="15" customHeight="1" x14ac:dyDescent="0.25">
      <c r="A220">
        <v>97</v>
      </c>
      <c r="B220" s="11" t="str">
        <f>"INSERT INTO PREGUNTAS ("&amp;$B$2&amp;","&amp;$C$2&amp;","&amp;$D$2&amp;","&amp;$E$2&amp;","&amp;$G$2&amp;","&amp;$H$2&amp;","&amp;$I$2&amp;","&amp;$J$2&amp;","&amp;$P$2&amp;","&amp;$T$2&amp;","&amp;$U$2&amp;") VALUES ("&amp;B99&amp;","&amp;C99&amp;","&amp;D99&amp;", '"&amp;E99&amp;"', '"&amp;G99&amp;"', '"&amp;H99&amp;"', '"&amp;I99&amp;"', '"&amp;J99&amp;"', '"&amp;P99&amp;"', '"&amp;T99&amp;"', '"&amp;U99&amp;"');"</f>
        <v>INSERT INTO PREGUNTAS (ID_PREGUNTA,ID_SUBTEMA_TOPICO,ID_ORIGEN,PREGUNTA,RESPUESTA_A,RESPUESTA_B,RESPUESTA_C,RESPUESTA_D,RESPUESTA_CORRECTA,ID_MATERIA,UNIDAD) VALUES (236,27,2, 'Señalar la afirmación incorrecta:', 'A.- No existe inconveniente, desde el punto de vista de la seguridad, en llamar librerías de terceros desde nuestro código, ya que se estima que son seguras.', 'B.- El código de terceros y el propio pueden contener vulnerabilidades públicas CVE.', 'C.- Es necesario comprobar las dependencias de software de terceros para verificar las posibles CVE.', 'D.- No se puede afirmar una seguridad del 100 % en un código.', 'A', '1', '8.4');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spans="1:31" ht="15" customHeight="1" x14ac:dyDescent="0.25">
      <c r="A221">
        <v>98</v>
      </c>
      <c r="B221" s="11" t="str">
        <f t="shared" ref="B221:B224" si="2">"INSERT INTO PREGUNTAS ("&amp;$B$2&amp;","&amp;$C$2&amp;","&amp;$D$2&amp;","&amp;$E$2&amp;","&amp;$G$2&amp;","&amp;$H$2&amp;","&amp;$I$2&amp;","&amp;$J$2&amp;","&amp;$P$2&amp;","&amp;$T$2&amp;","&amp;$U$2&amp;") VALUES ("&amp;B100&amp;","&amp;C100&amp;","&amp;D100&amp;", '"&amp;E100&amp;"', '"&amp;G100&amp;"', '"&amp;H100&amp;"', '"&amp;I100&amp;"', '"&amp;J100&amp;"', '"&amp;P100&amp;"', '"&amp;T100&amp;"', '"&amp;U100&amp;"');"</f>
        <v>INSERT INTO PREGUNTAS (ID_PREGUNTA,ID_SUBTEMA_TOPICO,ID_ORIGEN,PREGUNTA,RESPUESTA_A,RESPUESTA_B,RESPUESTA_C,RESPUESTA_D,RESPUESTA_CORRECTA,ID_MATERIA,UNIDAD) VALUES (237,27,2, '¿Cómo no se debe acceder (mediante autenticación) a una base de datos desde el código?', 'A.- Solicitando user/password al usuario desde la consola y verificar contra la almacenada en una BB.DD.', 'B.- 
Codificando user/password en el código fuente.', 'C.- Solicitando user/password al usuario desde la consola y verificar contra la almacenada en un fichero protegido.', 'D.- 
Todas las anteriores son ciertas.', 'B', '1', '8.4');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 spans="1:31" ht="15" customHeight="1" x14ac:dyDescent="0.25">
      <c r="A222">
        <v>99</v>
      </c>
      <c r="B222" s="11" t="str">
        <f t="shared" si="2"/>
        <v>INSERT INTO PREGUNTAS (ID_PREGUNTA,ID_SUBTEMA_TOPICO,ID_ORIGEN,PREGUNTA,RESPUESTA_A,RESPUESTA_B,RESPUESTA_C,RESPUESTA_D,RESPUESTA_CORRECTA,ID_MATERIA,UNIDAD) VALUES (238,27,2, '¿Qué función hay que usar en lugar de eval()?', 'A.- 
innerhtml().', 'B.- innertext().', 'C.- 
json.parse().', 'D.- 
Las herramientas IAST pueden detectar únicamente, bloquear o sanear la petición.', 'C', '1', '8.4');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 spans="1:31" ht="15" customHeight="1" x14ac:dyDescent="0.25">
      <c r="A223">
        <v>100</v>
      </c>
      <c r="B223" s="11" t="str">
        <f t="shared" si="2"/>
        <v>INSERT INTO PREGUNTAS (ID_PREGUNTA,ID_SUBTEMA_TOPICO,ID_ORIGEN,PREGUNTA,RESPUESTA_A,RESPUESTA_B,RESPUESTA_C,RESPUESTA_D,RESPUESTA_CORRECTA,ID_MATERIA,UNIDAD) VALUES (239,27,2, 'Señalar la afirmación correcta para evitar Open Redirect:', 'A.- Se debe usar sentencias parametrizadas.', 'B.- Se debe codificar la salida.', 'C.- Se debe usar una validación de lista blanca.', 'D.- Se debe usar una validación en el lado cliente.', 'C', '1', '8.5');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 spans="1:31" ht="15" customHeight="1" x14ac:dyDescent="0.25">
      <c r="A224">
        <v>101</v>
      </c>
      <c r="B224" s="11" t="str">
        <f t="shared" si="2"/>
        <v>INSERT INTO PREGUNTAS (ID_PREGUNTA,ID_SUBTEMA_TOPICO,ID_ORIGEN,PREGUNTA,RESPUESTA_A,RESPUESTA_B,RESPUESTA_C,RESPUESTA_D,RESPUESTA_CORRECTA,ID_MATERIA,UNIDAD) VALUES (240,27,2, 'Señalar la afirmación correcta para evitar CSRF:', 'A.- 
Se debe usar un token anti CSRF.', 'B.- Se debe codificar la salida.', 'C.- 
Se debe usar una validación de lista blanca.', 'D.- Se debe usar una validación en el lado cliente.', 'A', '1', '8.5');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 spans="1:31" ht="15" customHeight="1" x14ac:dyDescent="0.25">
      <c r="A225">
        <v>102</v>
      </c>
      <c r="B225" s="11" t="str">
        <f>"INSERT INTO PREGUNTAS ("&amp;$B$2&amp;","&amp;$C$2&amp;","&amp;$D$2&amp;","&amp;$E$2&amp;","&amp;$G$2&amp;","&amp;$H$2&amp;","&amp;$I$2&amp;","&amp;$J$2&amp;","&amp;$P$2&amp;","&amp;$T$2&amp;","&amp;$U$2&amp;") VALUES ("&amp;B104&amp;","&amp;C104&amp;","&amp;D104&amp;", '"&amp;E104&amp;"', '"&amp;G104&amp;"', '"&amp;H104&amp;"', '"&amp;I104&amp;"', '"&amp;J104&amp;"', '"&amp;P104&amp;"', '"&amp;T104&amp;"', '"&amp;U104&amp;"');"</f>
        <v>INSERT INTO PREGUNTAS (ID_PREGUNTA,ID_SUBTEMA_TOPICO,ID_ORIGEN,PREGUNTA,RESPUESTA_A,RESPUESTA_B,RESPUESTA_C,RESPUESTA_D,RESPUESTA_CORRECTA,ID_MATERIA,UNIDAD) VALUES (241,27,2, '¿A qué corresponde la siguiente línea de código?: req.getParameter("_csrf_token").equals(req.getSession().getAttribute("_csrf_token").', 'A.- Al uso de sentencias parametrizadas de SQL.', 'B.- Al uso de un identificador de sesión.', 'C.- A la comprobación de un token anti SSRF.', 'D.- A la comprobación de un token anti CSRF.', 'D', '1', '8.5');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 spans="1:31" ht="15" customHeight="1" x14ac:dyDescent="0.25">
      <c r="A226">
        <v>103</v>
      </c>
      <c r="B226" s="11" t="str">
        <f t="shared" ref="B226:B236" si="3">"INSERT INTO PREGUNTAS ("&amp;$B$2&amp;","&amp;$C$2&amp;","&amp;$D$2&amp;","&amp;$E$2&amp;","&amp;$G$2&amp;","&amp;$H$2&amp;","&amp;$I$2&amp;","&amp;$J$2&amp;","&amp;$P$2&amp;","&amp;$T$2&amp;","&amp;$U$2&amp;") VALUES ("&amp;B105&amp;","&amp;C105&amp;","&amp;D105&amp;", '"&amp;E105&amp;"', '"&amp;G105&amp;"', '"&amp;H105&amp;"', '"&amp;I105&amp;"', '"&amp;J105&amp;"', '"&amp;P105&amp;"', '"&amp;T105&amp;"', '"&amp;U105&amp;"');"</f>
        <v>INSERT INTO PREGUNTAS (ID_PREGUNTA,ID_SUBTEMA_TOPICO,ID_ORIGEN,PREGUNTA,RESPUESTA_A,RESPUESTA_B,RESPUESTA_C,RESPUESTA_D,RESPUESTA_CORRECTA,ID_MATERIA,UNIDAD) VALUES (242,27,2, '¿En qué fase del SSDLC se debe usar una herramienta SAST?', 'A.- 
Diseño.', 'B.- 
Desarrollo.', 'C.- 
Producción.', 'D.- Pruebas.', 'B', '1', '9.1');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 spans="1:31" ht="15" customHeight="1" x14ac:dyDescent="0.25">
      <c r="A227">
        <v>104</v>
      </c>
      <c r="B227" s="11" t="str">
        <f t="shared" si="3"/>
        <v>INSERT INTO PREGUNTAS (ID_PREGUNTA,ID_SUBTEMA_TOPICO,ID_ORIGEN,PREGUNTA,RESPUESTA_A,RESPUESTA_B,RESPUESTA_C,RESPUESTA_D,RESPUESTA_CORRECTA,ID_MATERIA,UNIDAD) VALUES (243,27,2, '¿En qué fase del SSDLC se debe usar una herramienta DAST?', 'A.- Diseño.', 'B.- Desarrollo.', 'C.- 
Producción.', 'D.- Pruebas.', 'D', '1', '9.1');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 spans="1:31" ht="15" customHeight="1" x14ac:dyDescent="0.25">
      <c r="A228">
        <v>105</v>
      </c>
      <c r="B228" s="11" t="str">
        <f t="shared" si="3"/>
        <v>INSERT INTO PREGUNTAS (ID_PREGUNTA,ID_SUBTEMA_TOPICO,ID_ORIGEN,PREGUNTA,RESPUESTA_A,RESPUESTA_B,RESPUESTA_C,RESPUESTA_D,RESPUESTA_CORRECTA,ID_MATERIA,UNIDAD) VALUES (244,27,2, '¿En qué fase del SSDLC se debe usar una herramienta IAST?', 'A.- Diseño.', 'B.- Desarrollo.', 'C.- 
Producción.', 'D.- Pruebas.', 'D', '1', '9.1');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 spans="1:31" ht="15" customHeight="1" x14ac:dyDescent="0.25">
      <c r="A229">
        <v>106</v>
      </c>
      <c r="B229" s="11" t="str">
        <f t="shared" si="3"/>
        <v>INSERT INTO PREGUNTAS (ID_PREGUNTA,ID_SUBTEMA_TOPICO,ID_ORIGEN,PREGUNTA,RESPUESTA_A,RESPUESTA_B,RESPUESTA_C,RESPUESTA_D,RESPUESTA_CORRECTA,ID_MATERIA,UNIDAD) VALUES (245,27,2, '¿Qué tipo de análisis puede realizar una herramienta SAST para comprobar las interacciones entre distintas funciones?', 'A.- Intraprocedural.', 'B.- 
Interprocedural.', 'C.- Semántico.', 'D.- Todos los anteriores.', 'D', '1', '9.2');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 spans="1:31" ht="15" customHeight="1" x14ac:dyDescent="0.25">
      <c r="A230">
        <v>107</v>
      </c>
      <c r="B230" s="11" t="str">
        <f t="shared" si="3"/>
        <v>INSERT INTO PREGUNTAS (ID_PREGUNTA,ID_SUBTEMA_TOPICO,ID_ORIGEN,PREGUNTA,RESPUESTA_A,RESPUESTA_B,RESPUESTA_C,RESPUESTA_D,RESPUESTA_CORRECTA,ID_MATERIA,UNIDAD) VALUES (246,27,2, 'En cuanto a herramientas de análisis de la seguridad SAST, señalar la afirmación falsa:', 'A.- Cubren todo el código de la aplicación excepto las dependencias de terceros.', 'B.- Tienen falsos negativos y falsos positivos.', 'C.- Algunas pueden analizar código ejecutable.', 'D.- 
Todas las anteriores son falsas.', 'D', '1', '9.2');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 spans="1:31" ht="15" customHeight="1" x14ac:dyDescent="0.25">
      <c r="A231">
        <v>108</v>
      </c>
      <c r="B231" s="11" t="str">
        <f t="shared" si="3"/>
        <v>INSERT INTO PREGUNTAS (ID_PREGUNTA,ID_SUBTEMA_TOPICO,ID_ORIGEN,PREGUNTA,RESPUESTA_A,RESPUESTA_B,RESPUESTA_C,RESPUESTA_D,RESPUESTA_CORRECTA,ID_MATERIA,UNIDAD) VALUES (247,27,2, '¿Qué se puede hacer con los falsos positivos posibles en el resultado de análisis de una herramienta SAST?', 'A.- Auditar las vulnerabilidades del informe.', 'B.- No es necesario hacer nada puesto que realmente no son vulnerabilidades.', 'C.- Este tipo de herramientas no tienen falsos positivos.', 'D.- 
Todas las anteriores son ciertas.', 'A', '1', '9.2');</v>
      </c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 spans="1:31" ht="15" customHeight="1" x14ac:dyDescent="0.25">
      <c r="A232">
        <v>109</v>
      </c>
      <c r="B232" s="11" t="str">
        <f t="shared" si="3"/>
        <v>INSERT INTO PREGUNTAS (ID_PREGUNTA,ID_SUBTEMA_TOPICO,ID_ORIGEN,PREGUNTA,RESPUESTA_A,RESPUESTA_B,RESPUESTA_C,RESPUESTA_D,RESPUESTA_CORRECTA,ID_MATERIA,UNIDAD) VALUES (248,27,2, 'Señalar la afirmación falsa:', 'A.- 
Las herramientas de análisis de tipo IAST no suelen tener falsos positivos.', 'B.- Las herramientas RASP se pueden utilizar como firewalls de aplicaciones web de tipo software.', 'C.- Las herramientas de tipo IAST normalmente no tienen impacto en el rendimiento.', 'D.- 
Las herramientas IAST obtienen un informe del análisis de vulnerabilidades.', 'C', '1', '9.3');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 spans="1:31" ht="15" customHeight="1" x14ac:dyDescent="0.25">
      <c r="A233">
        <v>110</v>
      </c>
      <c r="B233" s="11" t="str">
        <f t="shared" si="3"/>
        <v>INSERT INTO PREGUNTAS (ID_PREGUNTA,ID_SUBTEMA_TOPICO,ID_ORIGEN,PREGUNTA,RESPUESTA_A,RESPUESTA_B,RESPUESTA_C,RESPUESTA_D,RESPUESTA_CORRECTA,ID_MATERIA,UNIDAD) VALUES (249,27,2, 'Las herramientas de tipo IAST pueden instrumentar:', 'A.- 
El código fuente.', 'B.- Las peticiones y respuestas.', 'C.- 
El código ejecutable.', 'D.- 
Ninguna de las anteriores.', 'C', '1', '9.3');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 spans="1:31" ht="15" customHeight="1" x14ac:dyDescent="0.25">
      <c r="A234">
        <v>111</v>
      </c>
      <c r="B234" s="11" t="str">
        <f t="shared" si="3"/>
        <v>INSERT INTO PREGUNTAS (ID_PREGUNTA,ID_SUBTEMA_TOPICO,ID_ORIGEN,PREGUNTA,RESPUESTA_A,RESPUESTA_B,RESPUESTA_C,RESPUESTA_D,RESPUESTA_CORRECTA,ID_MATERIA,UNIDAD) VALUES (250,27,2, '¿Qué tipo de análisis realiza una herramienta de tipo DAST?', 'A.- Semántico.', 'B.- Sintáctico.', 'C.- Interprocedural', 'D.- Intraprodedural.', 'B', '1', '9.3');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 spans="1:31" ht="15" customHeight="1" x14ac:dyDescent="0.25">
      <c r="A235">
        <v>112</v>
      </c>
      <c r="B235" s="11" t="str">
        <f t="shared" si="3"/>
        <v>INSERT INTO PREGUNTAS (ID_PREGUNTA,ID_SUBTEMA_TOPICO,ID_ORIGEN,PREGUNTA,RESPUESTA_A,RESPUESTA_B,RESPUESTA_C,RESPUESTA_D,RESPUESTA_CORRECTA,ID_MATERIA,UNIDAD) VALUES (251,27,2, 'Un WAF detecta y bloquea ataques web usando:', 'A.- Expresiones regulares.', 'B.- Análisis semántico.', 'C.- No bloquea ataques.', 'D.- Ninguna de las anteriores.', 'A', '1', '10.1');</v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 spans="1:31" ht="15" customHeight="1" x14ac:dyDescent="0.25">
      <c r="A236">
        <v>113</v>
      </c>
      <c r="B236" s="11" t="str">
        <f t="shared" si="3"/>
        <v>INSERT INTO PREGUNTAS (ID_PREGUNTA,ID_SUBTEMA_TOPICO,ID_ORIGEN,PREGUNTA,RESPUESTA_A,RESPUESTA_B,RESPUESTA_C,RESPUESTA_D,RESPUESTA_CORRECTA,ID_MATERIA,UNIDAD) VALUES (252,27,2, '¿Qué tipo de instalación de un WAF solo detecta y no bloquea un ataque?', 'A.- Bridge.', 'B.- 
Proxy reverso.', 'C.- Pasivo.', 'D.- Ninguna de las anteriores.', 'C', '1', '10.1');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 spans="1:31" ht="15" customHeight="1" x14ac:dyDescent="0.25">
      <c r="A237">
        <v>114</v>
      </c>
      <c r="B237" s="11" t="str">
        <f>"INSERT INTO PREGUNTAS ("&amp;$B$2&amp;","&amp;$C$2&amp;","&amp;$D$2&amp;","&amp;$E$2&amp;","&amp;$G$2&amp;","&amp;$H$2&amp;","&amp;$I$2&amp;","&amp;$J$2&amp;","&amp;$P$2&amp;","&amp;$T$2&amp;","&amp;$U$2&amp;") VALUES ("&amp;B116&amp;","&amp;C116&amp;","&amp;D116&amp;", '"&amp;E116&amp;"', '"&amp;G116&amp;"', '"&amp;H116&amp;"', '"&amp;I116&amp;"', '"&amp;J116&amp;"', '"&amp;P116&amp;"', '"&amp;T116&amp;"', '"&amp;U116&amp;"');"</f>
        <v>INSERT INTO PREGUNTAS (ID_PREGUNTA,ID_SUBTEMA_TOPICO,ID_ORIGEN,PREGUNTA,RESPUESTA_A,RESPUESTA_B,RESPUESTA_C,RESPUESTA_D,RESPUESTA_CORRECTA,ID_MATERIA,UNIDAD) VALUES (253,27,2, '¿Qué tipo de instalación es la más recomendable para un WAF?', 'A.- Bridge.', 'B.- Proxy reverso.', 'C.- 
Pasivo.', 'D.- 
Ninguna de las anteriores.', 'B', '1', '10.1');</v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 spans="1:31" ht="15" customHeight="1" x14ac:dyDescent="0.25">
      <c r="A238">
        <v>115</v>
      </c>
      <c r="B238" s="11" t="str">
        <f t="shared" ref="B238:B242" si="4">"INSERT INTO PREGUNTAS ("&amp;$B$2&amp;","&amp;$C$2&amp;","&amp;$D$2&amp;","&amp;$E$2&amp;","&amp;$G$2&amp;","&amp;$H$2&amp;","&amp;$I$2&amp;","&amp;$J$2&amp;","&amp;$P$2&amp;","&amp;$T$2&amp;","&amp;$U$2&amp;") VALUES ("&amp;B117&amp;","&amp;C117&amp;","&amp;D117&amp;", '"&amp;E117&amp;"', '"&amp;G117&amp;"', '"&amp;H117&amp;"', '"&amp;I117&amp;"', '"&amp;J117&amp;"', '"&amp;P117&amp;"', '"&amp;T117&amp;"', '"&amp;U117&amp;"');"</f>
        <v>INSERT INTO PREGUNTAS (ID_PREGUNTA,ID_SUBTEMA_TOPICO,ID_ORIGEN,PREGUNTA,RESPUESTA_A,RESPUESTA_B,RESPUESTA_C,RESPUESTA_D,RESPUESTA_CORRECTA,ID_MATERIA,UNIDAD) VALUES (254,27,2, '¿Qué valor se recomienda para la cabecera X-FRAME-OPTIONS?', 'A.- STRICT.', 'B.- HTTPONLY.', 'C.- LAX.', 'D.- DENY.', 'D', '1', '10.2');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 spans="1:31" ht="15" customHeight="1" x14ac:dyDescent="0.25">
      <c r="A239">
        <v>116</v>
      </c>
      <c r="B239" s="11" t="str">
        <f t="shared" si="4"/>
        <v>INSERT INTO PREGUNTAS (ID_PREGUNTA,ID_SUBTEMA_TOPICO,ID_ORIGEN,PREGUNTA,RESPUESTA_A,RESPUESTA_B,RESPUESTA_C,RESPUESTA_D,RESPUESTA_CORRECTA,ID_MATERIA,UNIDAD) VALUES (255,27,2, '¿Qué valor se recomienda para la cabecera CONTENT-SECURITY-POLICY?', 'A.- default-src 'self'.', 'B.- same origin.', 'C.- strict.', 'D.- *.', 'A', '1', '10.2');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 spans="1:31" ht="15" customHeight="1" x14ac:dyDescent="0.25">
      <c r="A240">
        <v>117</v>
      </c>
      <c r="B240" s="11" t="str">
        <f>"INSERT INTO PREGUNTAS ("&amp;$B$2&amp;","&amp;$C$2&amp;","&amp;$D$2&amp;","&amp;$E$2&amp;","&amp;$G$2&amp;","&amp;$H$2&amp;","&amp;$I$2&amp;","&amp;$J$2&amp;","&amp;$P$2&amp;","&amp;$T$2&amp;","&amp;$U$2&amp;") VALUES ("&amp;B119&amp;","&amp;C119&amp;","&amp;D119&amp;", '"&amp;E119&amp;"', '"&amp;G119&amp;"', '"&amp;H119&amp;"', '"&amp;I119&amp;"', '"&amp;J119&amp;"', '"&amp;P119&amp;"', '"&amp;T119&amp;"', '"&amp;U119&amp;"');"</f>
        <v>INSERT INTO PREGUNTAS (ID_PREGUNTA,ID_SUBTEMA_TOPICO,ID_ORIGEN,PREGUNTA,RESPUESTA_A,RESPUESTA_B,RESPUESTA_C,RESPUESTA_D,RESPUESTA_CORRECTA,ID_MATERIA,UNIDAD) VALUES (256,27,2, '¿Qué valor se recomienda para el parámetro SAMESITE de la cabecera SET-COOKIE?', 'A.- 
STRICT.', 'B.- 
HTTPONLY.', 'C.- LAX.', 'D.- 
DENY.', 'A', '1', '10.2');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 spans="1:31" ht="15" customHeight="1" x14ac:dyDescent="0.25">
      <c r="A241">
        <v>118</v>
      </c>
      <c r="B241" s="11" t="str">
        <f t="shared" si="4"/>
        <v>INSERT INTO PREGUNTAS (ID_PREGUNTA,ID_SUBTEMA_TOPICO,ID_ORIGEN,PREGUNTA,RESPUESTA_A,RESPUESTA_B,RESPUESTA_C,RESPUESTA_D,RESPUESTA_CORRECTA,ID_MATERIA,UNIDAD) VALUES (257,27,2, 'La vulnerabilidad XSS DOM se puede evitar mediante:', 'A.- Codificación de la salida.', 'B.- Validación de entrada.', 'C.- Cabecera XSS-PROTECTION.', 'D.- Todas las anteriores son correctas.', 'D', '1', '10.3');</v>
      </c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 spans="1:31" ht="15" customHeight="1" x14ac:dyDescent="0.25">
      <c r="A242">
        <v>119</v>
      </c>
      <c r="B242" s="11" t="str">
        <f t="shared" si="4"/>
        <v>INSERT INTO PREGUNTAS (ID_PREGUNTA,ID_SUBTEMA_TOPICO,ID_ORIGEN,PREGUNTA,RESPUESTA_A,RESPUESTA_B,RESPUESTA_C,RESPUESTA_D,RESPUESTA_CORRECTA,ID_MATERIA,UNIDAD) VALUES (258,27,2, 'El ataque Javascript hijacking es similar en tecnología AJAX a:', 'A.- XSS-DOM.', 'B.- CSRF.', 'C.- SQLI.', 'D.- Ninguna de las anteriores.', 'B', '1', '10.3');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 spans="1:31" ht="15" customHeight="1" x14ac:dyDescent="0.25">
      <c r="A243">
        <v>120</v>
      </c>
      <c r="B243" s="11" t="str">
        <f t="shared" ref="B243" si="5">"INSERT INTO PREGUNTAS ("&amp;$B$2&amp;","&amp;$C$2&amp;","&amp;$D$2&amp;","&amp;$E$2&amp;","&amp;$G$2&amp;","&amp;$H$2&amp;","&amp;$I$2&amp;","&amp;$J$2&amp;","&amp;$P$2&amp;","&amp;$T$2&amp;","&amp;$U$2&amp;") VALUES ("&amp;B122&amp;","&amp;C122&amp;","&amp;D122&amp;", '"&amp;E122&amp;"', '"&amp;G122&amp;"', '"&amp;H122&amp;"', '"&amp;I122&amp;"', '"&amp;J122&amp;"', '"&amp;P122&amp;"', '"&amp;T122&amp;"', '"&amp;U122&amp;"');"</f>
        <v>INSERT INTO PREGUNTAS (ID_PREGUNTA,ID_SUBTEMA_TOPICO,ID_ORIGEN,PREGUNTA,RESPUESTA_A,RESPUESTA_B,RESPUESTA_C,RESPUESTA_D,RESPUESTA_CORRECTA,ID_MATERIA,UNIDAD) VALUES (259,27,2, '¿Cómo se puede saltar/evitar la política del mismo origen?', 'A.- &lt;script&gt;…&lt;/script&gt;.', 'B.- &lt;iframe&gt;…&lt;/iframe&gt;.', 'C.- &lt;img&gt;…&lt;/img&gt;.', 'D.- 
Todas las anteriores son correctas.', 'D', '1', '10.3');</v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spans="1:31" ht="15" customHeight="1" x14ac:dyDescent="0.25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 spans="1:31" ht="15" customHeight="1" x14ac:dyDescent="0.2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 spans="1:31" ht="15" customHeight="1" x14ac:dyDescent="0.25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 spans="1:31" ht="15" customHeight="1" x14ac:dyDescent="0.25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spans="1:31" ht="15" customHeight="1" x14ac:dyDescent="0.25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spans="1:31" ht="15" customHeight="1" x14ac:dyDescent="0.25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spans="1:31" ht="15" customHeight="1" x14ac:dyDescent="0.25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spans="1:31" ht="15" customHeight="1" x14ac:dyDescent="0.25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spans="1:31" ht="15" customHeight="1" x14ac:dyDescent="0.25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spans="1:31" ht="15" customHeight="1" x14ac:dyDescent="0.25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spans="1:31" ht="15" customHeight="1" x14ac:dyDescent="0.25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spans="1:31" ht="15" customHeight="1" x14ac:dyDescent="0.2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spans="1:31" ht="15" customHeight="1" x14ac:dyDescent="0.25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spans="2:31" ht="15" customHeight="1" x14ac:dyDescent="0.25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spans="2:31" ht="15" customHeight="1" x14ac:dyDescent="0.25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spans="2:31" ht="15" customHeight="1" x14ac:dyDescent="0.25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spans="2:31" ht="15" customHeight="1" x14ac:dyDescent="0.25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spans="2:31" ht="15" customHeight="1" x14ac:dyDescent="0.25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spans="2:31" ht="15" customHeight="1" x14ac:dyDescent="0.25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spans="2:31" ht="15" customHeight="1" x14ac:dyDescent="0.25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spans="2:31" ht="15" customHeight="1" x14ac:dyDescent="0.25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</sheetData>
  <mergeCells count="141">
    <mergeCell ref="B264:AE264"/>
    <mergeCell ref="B258:AE258"/>
    <mergeCell ref="B259:AE259"/>
    <mergeCell ref="B260:AE260"/>
    <mergeCell ref="B261:AE261"/>
    <mergeCell ref="B262:AE262"/>
    <mergeCell ref="B263:AE263"/>
    <mergeCell ref="B252:AE252"/>
    <mergeCell ref="B253:AE253"/>
    <mergeCell ref="B254:AE254"/>
    <mergeCell ref="B255:AE255"/>
    <mergeCell ref="B256:AE256"/>
    <mergeCell ref="B257:AE257"/>
    <mergeCell ref="B246:AE246"/>
    <mergeCell ref="B247:AE247"/>
    <mergeCell ref="B248:AE248"/>
    <mergeCell ref="B249:AE249"/>
    <mergeCell ref="B250:AE250"/>
    <mergeCell ref="B251:AE251"/>
    <mergeCell ref="B240:AE240"/>
    <mergeCell ref="B241:AE241"/>
    <mergeCell ref="B242:AE242"/>
    <mergeCell ref="B243:AE243"/>
    <mergeCell ref="B244:AE244"/>
    <mergeCell ref="B245:AE245"/>
    <mergeCell ref="B234:AE234"/>
    <mergeCell ref="B235:AE235"/>
    <mergeCell ref="B236:AE236"/>
    <mergeCell ref="B237:AE237"/>
    <mergeCell ref="B238:AE238"/>
    <mergeCell ref="B239:AE239"/>
    <mergeCell ref="B228:AE228"/>
    <mergeCell ref="B229:AE229"/>
    <mergeCell ref="B230:AE230"/>
    <mergeCell ref="B231:AE231"/>
    <mergeCell ref="B232:AE232"/>
    <mergeCell ref="B233:AE233"/>
    <mergeCell ref="B222:AE222"/>
    <mergeCell ref="B223:AE223"/>
    <mergeCell ref="B224:AE224"/>
    <mergeCell ref="B225:AE225"/>
    <mergeCell ref="B226:AE226"/>
    <mergeCell ref="B227:AE227"/>
    <mergeCell ref="B216:AE216"/>
    <mergeCell ref="B217:AE217"/>
    <mergeCell ref="B218:AE218"/>
    <mergeCell ref="B219:AE219"/>
    <mergeCell ref="B220:AE220"/>
    <mergeCell ref="B221:AE221"/>
    <mergeCell ref="B210:AE210"/>
    <mergeCell ref="B211:AE211"/>
    <mergeCell ref="B212:AE212"/>
    <mergeCell ref="B213:AE213"/>
    <mergeCell ref="B214:AE214"/>
    <mergeCell ref="B215:AE215"/>
    <mergeCell ref="B204:AE204"/>
    <mergeCell ref="B205:AE205"/>
    <mergeCell ref="B206:AE206"/>
    <mergeCell ref="B207:AE207"/>
    <mergeCell ref="B208:AE208"/>
    <mergeCell ref="B209:AE209"/>
    <mergeCell ref="B198:AE198"/>
    <mergeCell ref="B199:AE199"/>
    <mergeCell ref="B200:AE200"/>
    <mergeCell ref="B201:AE201"/>
    <mergeCell ref="B202:AE202"/>
    <mergeCell ref="B203:AE203"/>
    <mergeCell ref="B192:AE192"/>
    <mergeCell ref="B193:AE193"/>
    <mergeCell ref="B194:AE194"/>
    <mergeCell ref="B195:AE195"/>
    <mergeCell ref="B196:AE196"/>
    <mergeCell ref="B197:AE197"/>
    <mergeCell ref="B186:AE186"/>
    <mergeCell ref="B187:AE187"/>
    <mergeCell ref="B188:AE188"/>
    <mergeCell ref="B189:AE189"/>
    <mergeCell ref="B190:AE190"/>
    <mergeCell ref="B191:AE191"/>
    <mergeCell ref="B180:AE180"/>
    <mergeCell ref="B181:AE181"/>
    <mergeCell ref="B182:AE182"/>
    <mergeCell ref="B183:AE183"/>
    <mergeCell ref="B184:AE184"/>
    <mergeCell ref="B185:AE185"/>
    <mergeCell ref="B174:AE174"/>
    <mergeCell ref="B175:AE175"/>
    <mergeCell ref="B176:AE176"/>
    <mergeCell ref="B177:AE177"/>
    <mergeCell ref="B178:AE178"/>
    <mergeCell ref="B179:AE179"/>
    <mergeCell ref="B168:AE168"/>
    <mergeCell ref="B169:AE169"/>
    <mergeCell ref="B170:AE170"/>
    <mergeCell ref="B171:AE171"/>
    <mergeCell ref="B172:AE172"/>
    <mergeCell ref="B173:AE173"/>
    <mergeCell ref="B162:AE162"/>
    <mergeCell ref="B163:AE163"/>
    <mergeCell ref="B164:AE164"/>
    <mergeCell ref="B165:AE165"/>
    <mergeCell ref="B166:AE166"/>
    <mergeCell ref="B167:AE167"/>
    <mergeCell ref="B156:AE156"/>
    <mergeCell ref="B157:AE157"/>
    <mergeCell ref="B158:AE158"/>
    <mergeCell ref="B159:AE159"/>
    <mergeCell ref="B160:AE160"/>
    <mergeCell ref="B161:AE161"/>
    <mergeCell ref="B150:AE150"/>
    <mergeCell ref="B151:AE151"/>
    <mergeCell ref="B152:AE152"/>
    <mergeCell ref="B153:AE153"/>
    <mergeCell ref="B154:AE154"/>
    <mergeCell ref="B155:AE155"/>
    <mergeCell ref="B144:AE144"/>
    <mergeCell ref="B145:AE145"/>
    <mergeCell ref="B146:AE146"/>
    <mergeCell ref="B147:AE147"/>
    <mergeCell ref="B148:AE148"/>
    <mergeCell ref="B149:AE149"/>
    <mergeCell ref="B138:AE138"/>
    <mergeCell ref="B139:AE139"/>
    <mergeCell ref="B140:AE140"/>
    <mergeCell ref="B141:AE141"/>
    <mergeCell ref="B142:AE142"/>
    <mergeCell ref="B143:AE143"/>
    <mergeCell ref="B132:AE132"/>
    <mergeCell ref="B133:AE133"/>
    <mergeCell ref="B134:AE134"/>
    <mergeCell ref="B135:AE135"/>
    <mergeCell ref="B136:AE136"/>
    <mergeCell ref="B137:AE137"/>
    <mergeCell ref="B126:AE126"/>
    <mergeCell ref="B127:AE127"/>
    <mergeCell ref="B128:AE128"/>
    <mergeCell ref="B129:AE129"/>
    <mergeCell ref="B130:AE130"/>
    <mergeCell ref="B131:AE131"/>
    <mergeCell ref="B124:AE124"/>
    <mergeCell ref="B125:AE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materia</vt:lpstr>
      <vt:lpstr>materia_values</vt:lpstr>
      <vt:lpstr>origen</vt:lpstr>
      <vt:lpstr>origen_values</vt:lpstr>
      <vt:lpstr>subtema</vt:lpstr>
      <vt:lpstr>subtema_values</vt:lpstr>
      <vt:lpstr>topico</vt:lpstr>
      <vt:lpstr>topico_values</vt:lpstr>
      <vt:lpstr>subtema_topico</vt:lpstr>
      <vt:lpstr>subtema_topico_values</vt:lpstr>
      <vt:lpstr>tema</vt:lpstr>
      <vt:lpstr>tema_values</vt:lpstr>
      <vt:lpstr>preguntas</vt:lpstr>
      <vt:lpstr>preguntas_values</vt:lpstr>
      <vt:lpstr>INSERT PREGUNTA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BAÑOS</dc:creator>
  <cp:lastModifiedBy>SAUL BAÑOS</cp:lastModifiedBy>
  <dcterms:created xsi:type="dcterms:W3CDTF">2015-06-05T18:19:34Z</dcterms:created>
  <dcterms:modified xsi:type="dcterms:W3CDTF">2026-02-03T17:57:21Z</dcterms:modified>
</cp:coreProperties>
</file>